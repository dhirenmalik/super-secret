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Combine Brands" sheetId="2" state="visible" r:id="rId2"/>
    <sheet xmlns:r="http://schemas.openxmlformats.org/officeDocument/2006/relationships" name="brand_analysis" sheetId="3" state="visible" r:id="rId3"/>
    <sheet xmlns:r="http://schemas.openxmlformats.org/officeDocument/2006/relationships" name="Top Private Brands" sheetId="4" state="visible" r:id="rId4"/>
    <sheet xmlns:r="http://schemas.openxmlformats.org/officeDocument/2006/relationships" name="Mapping Issue Brands" sheetId="5" state="visible" r:id="rId5"/>
    <sheet xmlns:r="http://schemas.openxmlformats.org/officeDocument/2006/relationships" name="code_outpu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color theme="0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34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9" fontId="0" fillId="0" borderId="1" pivotButton="0" quotePrefix="0" xfId="1"/>
    <xf numFmtId="0" fontId="2" fillId="0" borderId="2" pivotButton="0" quotePrefix="0" xfId="0"/>
    <xf numFmtId="0" fontId="2" fillId="0" borderId="3" pivotButton="0" quotePrefix="0" xfId="0"/>
    <xf numFmtId="0" fontId="2" fillId="0" borderId="5" pivotButton="0" quotePrefix="0" xfId="0"/>
    <xf numFmtId="0" fontId="2" fillId="0" borderId="6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0" borderId="8" applyAlignment="1" pivotButton="0" quotePrefix="0" xfId="0">
      <alignment horizontal="right"/>
    </xf>
    <xf numFmtId="0" fontId="4" fillId="0" borderId="9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9" fontId="0" fillId="0" borderId="8" pivotButton="0" quotePrefix="0" xfId="1"/>
    <xf numFmtId="9" fontId="0" fillId="0" borderId="0" pivotButton="0" quotePrefix="0" xfId="1"/>
    <xf numFmtId="9" fontId="0" fillId="0" borderId="4" pivotButton="0" quotePrefix="0" xfId="1"/>
    <xf numFmtId="9" fontId="0" fillId="0" borderId="9" pivotButton="0" quotePrefix="0" xfId="1"/>
    <xf numFmtId="9" fontId="0" fillId="0" borderId="10" pivotButton="0" quotePrefix="0" xfId="1"/>
    <xf numFmtId="9" fontId="0" fillId="0" borderId="11" pivotButton="0" quotePrefix="0" xfId="1"/>
    <xf numFmtId="0" fontId="0" fillId="3" borderId="5" pivotButton="0" quotePrefix="0" xfId="0"/>
    <xf numFmtId="0" fontId="0" fillId="3" borderId="6" pivotButton="0" quotePrefix="0" xfId="0"/>
    <xf numFmtId="0" fontId="0" fillId="3" borderId="7" pivotButton="0" quotePrefix="0" xfId="0"/>
    <xf numFmtId="9" fontId="0" fillId="3" borderId="5" pivotButton="0" quotePrefix="0" xfId="1"/>
    <xf numFmtId="9" fontId="0" fillId="3" borderId="6" pivotButton="0" quotePrefix="0" xfId="1"/>
    <xf numFmtId="9" fontId="0" fillId="3" borderId="7" pivotButton="0" quotePrefix="0" xfId="1"/>
    <xf numFmtId="0" fontId="6" fillId="0" borderId="12" applyAlignment="1" pivotButton="0" quotePrefix="0" xfId="0">
      <alignment horizontal="center" vertical="top"/>
    </xf>
    <xf numFmtId="0" fontId="7" fillId="0" borderId="13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M1048576" headerRowCount="1" totalsRowShown="0">
  <autoFilter ref="A1:M1048576"/>
  <sortState ref="A2:M3347">
    <sortCondition ref="L1:L1048576"/>
  </sortState>
  <tableColumns count="13">
    <tableColumn id="1" name="UNIQUE_BRAND_NAME"/>
    <tableColumn id="2" name="Sum of O_SALE"/>
    <tableColumn id="3" name="Sum of TOTAL_SPEND"/>
    <tableColumn id="4" name="Sum of O_UNIT"/>
    <tableColumn id="5" name="Max of Exclude_Flag"/>
    <tableColumn id="6" name="Max of Combine_Flag"/>
    <tableColumn id="7" name="Sales Share" dataDxfId="6"/>
    <tableColumn id="8" name="Unit Share" dataDxfId="5"/>
    <tableColumn id="9" name="Spend Share" dataDxfId="4"/>
    <tableColumn id="10" name="Private Brand" dataDxfId="3"/>
    <tableColumn id="11" name="Mapping Issue" dataDxfId="2"/>
    <tableColumn id="12" name="Combine Flag" dataDxfId="1"/>
    <tableColumn id="13" name="Exclude 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3"/>
  <sheetViews>
    <sheetView tabSelected="1" zoomScale="80" zoomScaleNormal="80" workbookViewId="0">
      <selection activeCell="M18" sqref="M18"/>
    </sheetView>
  </sheetViews>
  <sheetFormatPr baseColWidth="8" defaultRowHeight="15"/>
  <cols>
    <col width="24.85546875" bestFit="1" customWidth="1" min="1" max="1"/>
    <col width="17.140625" bestFit="1" customWidth="1" min="2" max="2"/>
    <col width="23.140625" bestFit="1" customWidth="1" min="3" max="3"/>
    <col width="17.28515625" bestFit="1" customWidth="1" min="4" max="4"/>
    <col width="21.5703125" bestFit="1" customWidth="1" min="5" max="5"/>
    <col width="22.7109375" bestFit="1" customWidth="1" min="6" max="6"/>
    <col width="13.5703125" bestFit="1" customWidth="1" min="7" max="7"/>
    <col width="12.85546875" bestFit="1" customWidth="1" min="8" max="8"/>
    <col width="14.5703125" bestFit="1" customWidth="1" min="9" max="9"/>
    <col width="15.42578125" bestFit="1" customWidth="1" min="10" max="10"/>
    <col width="16.42578125" bestFit="1" customWidth="1" min="11" max="11"/>
    <col width="15.42578125" bestFit="1" customWidth="1" min="12" max="12"/>
    <col width="14.28515625" bestFit="1" customWidth="1" min="13" max="13"/>
    <col hidden="1" width="2.28515625" customWidth="1" min="16" max="16"/>
    <col hidden="1" width="23.5703125" customWidth="1" min="17" max="17"/>
    <col hidden="1" width="13" customWidth="1" min="18" max="20"/>
    <col width="31.140625" customWidth="1" min="22" max="22"/>
    <col width="12.85546875" bestFit="1" customWidth="1" min="23" max="23"/>
    <col width="12.28515625" bestFit="1" customWidth="1" min="24" max="24"/>
    <col width="11.28515625" bestFit="1" customWidth="1" min="25" max="25"/>
  </cols>
  <sheetData>
    <row r="1">
      <c r="A1" t="inlineStr">
        <is>
          <t>UNIQUE_BRAND_NAME</t>
        </is>
      </c>
      <c r="B1" t="inlineStr">
        <is>
          <t>Sum of O_SALE</t>
        </is>
      </c>
      <c r="C1" t="inlineStr">
        <is>
          <t>Sum of TOTAL_SPEND</t>
        </is>
      </c>
      <c r="D1" t="inlineStr">
        <is>
          <t>Sum of O_UNIT</t>
        </is>
      </c>
      <c r="E1" t="inlineStr">
        <is>
          <t>Max of Exclude_Flag</t>
        </is>
      </c>
      <c r="F1" t="inlineStr">
        <is>
          <t>Max of Combine_Flag</t>
        </is>
      </c>
      <c r="G1" t="inlineStr">
        <is>
          <t>Sales Share</t>
        </is>
      </c>
      <c r="H1" t="inlineStr">
        <is>
          <t>Unit Share</t>
        </is>
      </c>
      <c r="I1" t="inlineStr">
        <is>
          <t>Spend Share</t>
        </is>
      </c>
      <c r="J1" t="inlineStr">
        <is>
          <t>Private Brand</t>
        </is>
      </c>
      <c r="K1" t="inlineStr">
        <is>
          <t>Mapping Issue</t>
        </is>
      </c>
      <c r="L1" t="inlineStr">
        <is>
          <t>Combine Flag</t>
        </is>
      </c>
      <c r="M1" t="inlineStr">
        <is>
          <t>Exclude Flag</t>
        </is>
      </c>
    </row>
    <row r="2">
      <c r="A2" t="inlineStr">
        <is>
          <t>0</t>
        </is>
      </c>
      <c r="B2" t="n">
        <v>820.55</v>
      </c>
      <c r="C2" t="n">
        <v>123539.658571601</v>
      </c>
      <c r="D2" t="n">
        <v>34</v>
      </c>
      <c r="E2" t="n">
        <v>1</v>
      </c>
      <c r="F2" t="n">
        <v>0</v>
      </c>
      <c r="G2" t="n">
        <v>0</v>
      </c>
      <c r="H2" t="n">
        <v>0</v>
      </c>
      <c r="I2" t="n">
        <v>0.7</v>
      </c>
      <c r="K2" t="n">
        <v>1</v>
      </c>
      <c r="M2" t="n">
        <v>1</v>
      </c>
    </row>
    <row r="3">
      <c r="A3" t="inlineStr">
        <is>
          <t>4SISTERS</t>
        </is>
      </c>
      <c r="B3" t="n">
        <v>0</v>
      </c>
      <c r="C3" t="n">
        <v>192.8979491560001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M3" t="n">
        <v>1</v>
      </c>
    </row>
    <row r="4">
      <c r="A4" t="inlineStr">
        <is>
          <t>A DOZEN COUSINS</t>
        </is>
      </c>
      <c r="B4" t="n">
        <v>5014.99</v>
      </c>
      <c r="C4" t="n">
        <v>11.319999904</v>
      </c>
      <c r="D4" t="n">
        <v>227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M4" t="n">
        <v>0</v>
      </c>
    </row>
    <row r="5">
      <c r="A5" t="inlineStr">
        <is>
          <t>AL AMIR</t>
        </is>
      </c>
      <c r="B5" t="n">
        <v>11191.43</v>
      </c>
      <c r="C5" t="n">
        <v>0</v>
      </c>
      <c r="D5" t="n">
        <v>6577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M5" t="n">
        <v>1</v>
      </c>
    </row>
    <row r="6">
      <c r="A6" t="inlineStr">
        <is>
          <t>AL'FEZ</t>
        </is>
      </c>
      <c r="B6" t="n">
        <v>7113.12</v>
      </c>
      <c r="C6" t="n">
        <v>0</v>
      </c>
      <c r="D6" t="n">
        <v>2115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M6" t="n">
        <v>1</v>
      </c>
    </row>
    <row r="7">
      <c r="A7" t="inlineStr">
        <is>
          <t>ALASKA SEAFOOD</t>
        </is>
      </c>
      <c r="B7" t="n">
        <v>231930.87</v>
      </c>
      <c r="C7" t="n">
        <v>0</v>
      </c>
      <c r="D7" t="n">
        <v>15628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M7" t="n">
        <v>1</v>
      </c>
      <c r="V7" s="6" t="n"/>
      <c r="W7" s="1" t="inlineStr">
        <is>
          <t>Sales</t>
        </is>
      </c>
      <c r="X7" s="1" t="inlineStr">
        <is>
          <t>Spends</t>
        </is>
      </c>
      <c r="Y7" s="1" t="inlineStr">
        <is>
          <t>Unit</t>
        </is>
      </c>
    </row>
    <row r="8">
      <c r="A8" t="inlineStr">
        <is>
          <t>ALASKA SMOKEHOUSE</t>
        </is>
      </c>
      <c r="B8" t="n">
        <v>258603.13</v>
      </c>
      <c r="C8" t="n">
        <v>0</v>
      </c>
      <c r="D8" t="n">
        <v>43230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M8" t="n">
        <v>1</v>
      </c>
      <c r="V8" s="7" t="inlineStr">
        <is>
          <t>Total</t>
        </is>
      </c>
      <c r="W8" s="8">
        <f>SUM(B:B)</f>
        <v/>
      </c>
      <c r="X8" s="8">
        <f>SUM(C:C)</f>
        <v/>
      </c>
      <c r="Y8" s="8">
        <f>SUM(D:D)</f>
        <v/>
      </c>
    </row>
    <row r="9">
      <c r="A9" t="inlineStr">
        <is>
          <t>ALESSI</t>
        </is>
      </c>
      <c r="B9" t="n">
        <v>34487.83</v>
      </c>
      <c r="C9" t="n">
        <v>0</v>
      </c>
      <c r="D9" t="n">
        <v>9472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M9" t="n">
        <v>1</v>
      </c>
      <c r="V9" s="5" t="n"/>
    </row>
    <row r="10">
      <c r="A10" t="inlineStr">
        <is>
          <t>ALPHA - TRAFON GROUP</t>
        </is>
      </c>
      <c r="B10" t="n">
        <v>5.98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M10" t="n">
        <v>1</v>
      </c>
      <c r="V10" s="5" t="n"/>
    </row>
    <row r="11">
      <c r="A11" t="inlineStr">
        <is>
          <t>ALPINA</t>
        </is>
      </c>
      <c r="B11" t="n">
        <v>42867.56</v>
      </c>
      <c r="C11" t="n">
        <v>0</v>
      </c>
      <c r="D11" t="n">
        <v>21614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M11" t="n">
        <v>1</v>
      </c>
      <c r="V11" s="1" t="inlineStr">
        <is>
          <t>Before Analysis</t>
        </is>
      </c>
      <c r="W11" s="1" t="inlineStr">
        <is>
          <t>Sales</t>
        </is>
      </c>
      <c r="X11" s="1" t="inlineStr">
        <is>
          <t>Spend</t>
        </is>
      </c>
      <c r="Y11" s="1" t="inlineStr">
        <is>
          <t>Unit</t>
        </is>
      </c>
      <c r="Z11" s="1" t="inlineStr">
        <is>
          <t>Sales</t>
        </is>
      </c>
      <c r="AA11" s="1" t="inlineStr">
        <is>
          <t>Spends</t>
        </is>
      </c>
      <c r="AB11" s="1" t="inlineStr">
        <is>
          <t>Unit</t>
        </is>
      </c>
    </row>
    <row r="12">
      <c r="A12" t="inlineStr">
        <is>
          <t>ALSTERTOR</t>
        </is>
      </c>
      <c r="B12" t="n">
        <v>234.24</v>
      </c>
      <c r="C12" t="n">
        <v>0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M12" t="n">
        <v>1</v>
      </c>
      <c r="V12" s="2" t="inlineStr">
        <is>
          <t>Included</t>
        </is>
      </c>
      <c r="W12" s="2">
        <f>SUMIF(E:E, 0, B:B)</f>
        <v/>
      </c>
      <c r="X12" s="2">
        <f>SUMIF(E:E, 0, C:C)</f>
        <v/>
      </c>
      <c r="Y12" s="2">
        <f>SUMIF(E:E, 0, D:D)</f>
        <v/>
      </c>
      <c r="Z12" s="9">
        <f>(W12/W8)</f>
        <v/>
      </c>
      <c r="AA12" s="9">
        <f>(X12/X8)</f>
        <v/>
      </c>
      <c r="AB12" s="9">
        <f>(Y12/Y8)</f>
        <v/>
      </c>
    </row>
    <row r="13">
      <c r="A13" t="inlineStr">
        <is>
          <t>AMAZING GRAINS</t>
        </is>
      </c>
      <c r="B13" t="n">
        <v>14.88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M13" t="n">
        <v>1</v>
      </c>
      <c r="V13" s="2" t="inlineStr">
        <is>
          <t>Excluded</t>
        </is>
      </c>
      <c r="W13" s="2">
        <f>SUMIF(E:E, 1, B:B)</f>
        <v/>
      </c>
      <c r="X13" s="2">
        <f>SUMIF(E:E, 1, C:C)</f>
        <v/>
      </c>
      <c r="Y13" s="2">
        <f>SUMIF(E:E, 1, D:D)</f>
        <v/>
      </c>
      <c r="Z13" s="9">
        <f>W13/W8</f>
        <v/>
      </c>
      <c r="AA13" s="9">
        <f>X13/X8</f>
        <v/>
      </c>
      <c r="AB13" s="9">
        <f>Y13/Y8</f>
        <v/>
      </c>
    </row>
    <row r="14">
      <c r="A14" t="inlineStr">
        <is>
          <t>AMY'S KITCHEN</t>
        </is>
      </c>
      <c r="B14" t="n">
        <v>7835997.210000005</v>
      </c>
      <c r="C14" t="n">
        <v>12187.950011893</v>
      </c>
      <c r="D14" t="n">
        <v>1998280</v>
      </c>
      <c r="E14" t="n">
        <v>0</v>
      </c>
      <c r="F14" t="n">
        <v>0</v>
      </c>
      <c r="G14" t="n">
        <v>0.1</v>
      </c>
      <c r="H14" t="n">
        <v>0.1</v>
      </c>
      <c r="I14" t="n">
        <v>0.1</v>
      </c>
      <c r="L14" t="n">
        <v>4</v>
      </c>
      <c r="M14" t="n">
        <v>0</v>
      </c>
      <c r="V14" s="3" t="n"/>
      <c r="W14" s="4" t="n"/>
    </row>
    <row r="15">
      <c r="A15" t="inlineStr">
        <is>
          <t>AMY'S KITCHEN, INC</t>
        </is>
      </c>
      <c r="B15" t="n">
        <v>82007.37</v>
      </c>
      <c r="C15" t="n">
        <v>2705.339999814</v>
      </c>
      <c r="D15" t="n">
        <v>21278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L15" t="n">
        <v>4</v>
      </c>
      <c r="M15" t="n">
        <v>0</v>
      </c>
      <c r="V15" s="3" t="n"/>
      <c r="W15" s="4" t="n"/>
    </row>
    <row r="16">
      <c r="A16" t="inlineStr">
        <is>
          <t>AMYLU</t>
        </is>
      </c>
      <c r="B16" t="n">
        <v>76202.73</v>
      </c>
      <c r="C16" t="n">
        <v>0</v>
      </c>
      <c r="D16" t="n">
        <v>16851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M16" t="n">
        <v>1</v>
      </c>
      <c r="V16" s="3" t="n"/>
      <c r="W16" s="4" t="n"/>
    </row>
    <row r="17">
      <c r="A17" t="inlineStr">
        <is>
          <t>ANNIE CHUN'S</t>
        </is>
      </c>
      <c r="B17" t="n">
        <v>2912.48</v>
      </c>
      <c r="C17" t="n">
        <v>0</v>
      </c>
      <c r="D17" t="n">
        <v>122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M17" t="n">
        <v>1</v>
      </c>
      <c r="V17" s="12" t="inlineStr">
        <is>
          <t>After Exclude Flag Analysis</t>
        </is>
      </c>
      <c r="W17" s="13" t="inlineStr">
        <is>
          <t>Sales</t>
        </is>
      </c>
      <c r="X17" s="13" t="inlineStr">
        <is>
          <t>Spend</t>
        </is>
      </c>
      <c r="Y17" s="13" t="inlineStr">
        <is>
          <t>Unit</t>
        </is>
      </c>
      <c r="Z17" s="10" t="inlineStr">
        <is>
          <t>Sales</t>
        </is>
      </c>
      <c r="AA17" s="10" t="inlineStr">
        <is>
          <t>Spends</t>
        </is>
      </c>
      <c r="AB17" s="11" t="inlineStr">
        <is>
          <t>Unit</t>
        </is>
      </c>
    </row>
    <row r="18">
      <c r="A18" t="inlineStr">
        <is>
          <t>ANNIE'S</t>
        </is>
      </c>
      <c r="B18" t="n">
        <v>12508.010000005</v>
      </c>
      <c r="C18" t="n">
        <v>13360.63034701</v>
      </c>
      <c r="D18" t="n">
        <v>5588</v>
      </c>
      <c r="E18" t="n">
        <v>0</v>
      </c>
      <c r="F18" t="n">
        <v>0</v>
      </c>
      <c r="G18" t="n">
        <v>0</v>
      </c>
      <c r="H18" t="n">
        <v>0</v>
      </c>
      <c r="I18" t="n">
        <v>0.1</v>
      </c>
      <c r="M18" t="n">
        <v>0</v>
      </c>
      <c r="V18" s="26" t="inlineStr">
        <is>
          <t>Included</t>
        </is>
      </c>
      <c r="W18" s="27">
        <f>SUMIF(M:M, 0, B:B)</f>
        <v/>
      </c>
      <c r="X18" s="27">
        <f>SUMIF(M:M, 0, C:C)</f>
        <v/>
      </c>
      <c r="Y18" s="28">
        <f>SUMIF(M:M, 0, D:D)</f>
        <v/>
      </c>
      <c r="Z18" s="29">
        <f>W18/W8</f>
        <v/>
      </c>
      <c r="AA18" s="30">
        <f>X18/X8</f>
        <v/>
      </c>
      <c r="AB18" s="31">
        <f>Y18/Y8</f>
        <v/>
      </c>
    </row>
    <row r="19">
      <c r="A19" t="inlineStr">
        <is>
          <t>ARGETA</t>
        </is>
      </c>
      <c r="B19" t="n">
        <v>295.12</v>
      </c>
      <c r="C19" t="n">
        <v>0</v>
      </c>
      <c r="D19" t="n">
        <v>119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M19" t="n">
        <v>1</v>
      </c>
      <c r="V19" s="14" t="inlineStr">
        <is>
          <t>Exluded</t>
        </is>
      </c>
      <c r="W19">
        <f>SUMIF(M:M, 1, B:B)</f>
        <v/>
      </c>
      <c r="X19">
        <f>SUMIF(M:M, 1, C:C)</f>
        <v/>
      </c>
      <c r="Y19" s="15">
        <f>SUMIF(M:M, 1, D:D)</f>
        <v/>
      </c>
      <c r="Z19" s="20">
        <f>W19/W8</f>
        <v/>
      </c>
      <c r="AA19" s="21">
        <f>X19/X8</f>
        <v/>
      </c>
      <c r="AB19" s="22">
        <f>Y19/Y8</f>
        <v/>
      </c>
    </row>
    <row r="20">
      <c r="A20" t="inlineStr">
        <is>
          <t>ARMOUR</t>
        </is>
      </c>
      <c r="B20" t="n">
        <v>314797771.9598333</v>
      </c>
      <c r="C20" t="n">
        <v>0</v>
      </c>
      <c r="D20" t="n">
        <v>138261755</v>
      </c>
      <c r="E20" t="n">
        <v>1</v>
      </c>
      <c r="F20" t="n">
        <v>0</v>
      </c>
      <c r="G20" t="n">
        <v>6</v>
      </c>
      <c r="H20" t="n">
        <v>6</v>
      </c>
      <c r="I20" t="n">
        <v>0</v>
      </c>
      <c r="M20" t="n">
        <v>1</v>
      </c>
      <c r="V20" s="14" t="n"/>
      <c r="Y20" s="15" t="n"/>
      <c r="Z20" s="14" t="n"/>
      <c r="AB20" s="15" t="n"/>
    </row>
    <row r="21">
      <c r="A21" t="inlineStr">
        <is>
          <t>AUNT DOTS</t>
        </is>
      </c>
      <c r="B21" t="n">
        <v>129012.76</v>
      </c>
      <c r="C21" t="n">
        <v>0</v>
      </c>
      <c r="D21" t="n">
        <v>77937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M21" t="n">
        <v>1</v>
      </c>
      <c r="V21" s="16" t="inlineStr">
        <is>
          <t>Private Brand</t>
        </is>
      </c>
      <c r="W21">
        <f>SUMIFS(B:B, M:M, 1, J:J, "1")</f>
        <v/>
      </c>
      <c r="X21">
        <f>SUMIFS(C:C, M:M, 1, J:J, "1")</f>
        <v/>
      </c>
      <c r="Y21" s="15">
        <f>SUMIFS(D:D, M:M, 1, J:J, "1")</f>
        <v/>
      </c>
      <c r="Z21" s="20">
        <f>W21/$W$8</f>
        <v/>
      </c>
      <c r="AA21" s="21">
        <f>X21/$X$8</f>
        <v/>
      </c>
      <c r="AB21" s="22">
        <f>Y21/$Y$8</f>
        <v/>
      </c>
    </row>
    <row r="22">
      <c r="A22" t="inlineStr">
        <is>
          <t>AZALEA SEAFOOD</t>
        </is>
      </c>
      <c r="B22" t="n">
        <v>118.56</v>
      </c>
      <c r="C22" t="n">
        <v>0</v>
      </c>
      <c r="D22" t="n">
        <v>12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M22" t="n">
        <v>1</v>
      </c>
      <c r="V22" s="16" t="inlineStr">
        <is>
          <t>Brand with 0 sales</t>
        </is>
      </c>
      <c r="W22">
        <f>SUMIFS(B:B, M:M, 1, B:B, 0, J:J, "", K:K, "")</f>
        <v/>
      </c>
      <c r="X22">
        <f>SUMIFS(C:C, M:M, 1, B:B, 0, J:J, "", K:K, "")</f>
        <v/>
      </c>
      <c r="Y22" s="15">
        <f>SUMIFS(D:D, M:M, 1, B:B, 0, J:J, "", K:K, "")</f>
        <v/>
      </c>
      <c r="Z22" s="20">
        <f>W22/$W$8</f>
        <v/>
      </c>
      <c r="AA22" s="21">
        <f>X22/$X$8</f>
        <v/>
      </c>
      <c r="AB22" s="22">
        <f>Y22/$Y$8</f>
        <v/>
      </c>
    </row>
    <row r="23">
      <c r="A23" t="inlineStr">
        <is>
          <t>BAKALARS SAUSAGE</t>
        </is>
      </c>
      <c r="B23" t="n">
        <v>32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M23" t="n">
        <v>1</v>
      </c>
      <c r="V23" s="16" t="inlineStr">
        <is>
          <t>Brand with 0 spends</t>
        </is>
      </c>
      <c r="W23">
        <f>SUMIFS(B:B, M:M, 1, C:C, 0, J:J, "", K:K, "")</f>
        <v/>
      </c>
      <c r="X23">
        <f>SUMIFS(C:C, M:M, 1, C:C, 0, J:J, "", K:K, "")</f>
        <v/>
      </c>
      <c r="Y23" s="15">
        <f>SUMIFS(D:D, M:M, 1, C:C, 0, J:J, "", K:K, "")</f>
        <v/>
      </c>
      <c r="Z23" s="20">
        <f>W23/$W$8</f>
        <v/>
      </c>
      <c r="AA23" s="21">
        <f>X23/$X$8</f>
        <v/>
      </c>
      <c r="AB23" s="22">
        <f>Y23/$Y$8</f>
        <v/>
      </c>
    </row>
    <row r="24">
      <c r="A24" t="inlineStr">
        <is>
          <t>BANNER</t>
        </is>
      </c>
      <c r="B24" t="n">
        <v>4464.61</v>
      </c>
      <c r="C24" t="n">
        <v>0</v>
      </c>
      <c r="D24" t="n">
        <v>463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M24" t="n">
        <v>1</v>
      </c>
      <c r="V24" s="16" t="inlineStr">
        <is>
          <t>Brands with mapping issue (NAN,0)</t>
        </is>
      </c>
      <c r="W24">
        <f>SUMIFS(B:B, M:M, 1, J:J, "", K:K, "1")</f>
        <v/>
      </c>
      <c r="X24">
        <f>SUMIFS(C:C, M:M, 1, J:J, "", K:K, "1")</f>
        <v/>
      </c>
      <c r="Y24" s="15">
        <f>SUMIFS(D:D, M:M, 1, J:J, "", K:K, "1")</f>
        <v/>
      </c>
      <c r="Z24" s="20">
        <f>W24/$W$8</f>
        <v/>
      </c>
      <c r="AA24" s="21">
        <f>X24/$X$8</f>
        <v/>
      </c>
      <c r="AB24" s="22">
        <f>Y24/$Y$8</f>
        <v/>
      </c>
    </row>
    <row r="25">
      <c r="A25" t="inlineStr">
        <is>
          <t>BANZA</t>
        </is>
      </c>
      <c r="B25" t="n">
        <v>396368.480000002</v>
      </c>
      <c r="C25" t="n">
        <v>5476.075525322</v>
      </c>
      <c r="D25" t="n">
        <v>83986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M25" t="n">
        <v>0</v>
      </c>
      <c r="V25" s="17" t="inlineStr">
        <is>
          <t>Others</t>
        </is>
      </c>
      <c r="W25" s="18">
        <f>W19-SUM(W21:W24)</f>
        <v/>
      </c>
      <c r="X25" s="18">
        <f>X19-SUM(X21:X24)</f>
        <v/>
      </c>
      <c r="Y25" s="19">
        <f>Y19-SUM(Y21:Y24)</f>
        <v/>
      </c>
      <c r="Z25" s="23">
        <f>W25/$W$8</f>
        <v/>
      </c>
      <c r="AA25" s="24">
        <f>X25/$X$8</f>
        <v/>
      </c>
      <c r="AB25" s="25">
        <f>Y25/$Y$8</f>
        <v/>
      </c>
    </row>
    <row r="26">
      <c r="A26" t="inlineStr">
        <is>
          <t>BAR HARBOR</t>
        </is>
      </c>
      <c r="B26" t="n">
        <v>1419032.35</v>
      </c>
      <c r="C26" t="n">
        <v>0</v>
      </c>
      <c r="D26" t="n">
        <v>506681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M26" t="n">
        <v>1</v>
      </c>
    </row>
    <row r="27">
      <c r="A27" t="inlineStr">
        <is>
          <t>BARILLA</t>
        </is>
      </c>
      <c r="B27" t="n">
        <v>243530.963333334</v>
      </c>
      <c r="C27" t="n">
        <v>0</v>
      </c>
      <c r="D27" t="n">
        <v>111348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M27" t="n">
        <v>1</v>
      </c>
    </row>
    <row r="28">
      <c r="A28" t="inlineStr">
        <is>
          <t>BATTISTONI</t>
        </is>
      </c>
      <c r="B28" t="n">
        <v>508.95</v>
      </c>
      <c r="C28" t="n">
        <v>0</v>
      </c>
      <c r="D28" t="n">
        <v>135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M28" t="n">
        <v>1</v>
      </c>
    </row>
    <row r="29">
      <c r="A29" t="inlineStr">
        <is>
          <t>BAY BEAUTY</t>
        </is>
      </c>
      <c r="B29" t="n">
        <v>12.96</v>
      </c>
      <c r="C29" t="n">
        <v>0</v>
      </c>
      <c r="D29" t="n">
        <v>4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M29" t="n">
        <v>1</v>
      </c>
    </row>
    <row r="30">
      <c r="A30" t="inlineStr">
        <is>
          <t>BEACH CLIFF</t>
        </is>
      </c>
      <c r="B30" t="n">
        <v>38785956.71166666</v>
      </c>
      <c r="C30" t="n">
        <v>47630.66062534401</v>
      </c>
      <c r="D30" t="n">
        <v>33420910</v>
      </c>
      <c r="E30" t="n">
        <v>0</v>
      </c>
      <c r="F30" t="n">
        <v>0</v>
      </c>
      <c r="G30" t="n">
        <v>0.7</v>
      </c>
      <c r="H30" t="n">
        <v>1.5</v>
      </c>
      <c r="I30" t="n">
        <v>0.3</v>
      </c>
      <c r="M30" t="n">
        <v>0</v>
      </c>
    </row>
    <row r="31">
      <c r="A31" t="inlineStr">
        <is>
          <t>BEANVIVO</t>
        </is>
      </c>
      <c r="B31" t="n">
        <v>799.21</v>
      </c>
      <c r="C31" t="n">
        <v>0</v>
      </c>
      <c r="D31" t="n">
        <v>49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M31" t="n">
        <v>1</v>
      </c>
    </row>
    <row r="32">
      <c r="A32" t="inlineStr">
        <is>
          <t>BEAR CREEK</t>
        </is>
      </c>
      <c r="B32" t="n">
        <v>-8.15</v>
      </c>
      <c r="C32" t="n">
        <v>0</v>
      </c>
      <c r="D32" t="n">
        <v>-2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M32" t="n">
        <v>1</v>
      </c>
    </row>
    <row r="33">
      <c r="A33" t="inlineStr">
        <is>
          <t>BELLINO</t>
        </is>
      </c>
      <c r="B33" t="n">
        <v>523.21</v>
      </c>
      <c r="C33" t="n">
        <v>0</v>
      </c>
      <c r="D33" t="n">
        <v>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M33" t="n">
        <v>1</v>
      </c>
    </row>
    <row r="34">
      <c r="A34" t="inlineStr">
        <is>
          <t>BEN'S ORIGINAL</t>
        </is>
      </c>
      <c r="B34" t="n">
        <v>3855654.71</v>
      </c>
      <c r="C34" t="n">
        <v>509014.963309533</v>
      </c>
      <c r="D34" t="n">
        <v>1160790</v>
      </c>
      <c r="E34" t="n">
        <v>0</v>
      </c>
      <c r="F34" t="n">
        <v>0</v>
      </c>
      <c r="G34" t="n">
        <v>0.1</v>
      </c>
      <c r="H34" t="n">
        <v>0.1</v>
      </c>
      <c r="I34" t="n">
        <v>2.8</v>
      </c>
      <c r="L34" t="n">
        <v>3</v>
      </c>
      <c r="M34" t="n">
        <v>0</v>
      </c>
    </row>
    <row r="35">
      <c r="A35" t="inlineStr">
        <is>
          <t>BERETTA</t>
        </is>
      </c>
      <c r="B35" t="n">
        <v>597.08</v>
      </c>
      <c r="C35" t="n">
        <v>0</v>
      </c>
      <c r="D35" t="n">
        <v>46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M35" t="n">
        <v>1</v>
      </c>
    </row>
    <row r="36">
      <c r="A36" t="inlineStr">
        <is>
          <t>BEST FOODS</t>
        </is>
      </c>
      <c r="B36" t="n">
        <v>2.56</v>
      </c>
      <c r="C36" t="n">
        <v>3730.750782917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M36" t="n">
        <v>0</v>
      </c>
    </row>
    <row r="37">
      <c r="A37" t="inlineStr">
        <is>
          <t>BETTERGOODS</t>
        </is>
      </c>
      <c r="B37" t="n">
        <v>6122824.4</v>
      </c>
      <c r="C37" t="n">
        <v>0</v>
      </c>
      <c r="D37" t="n">
        <v>2055448</v>
      </c>
      <c r="E37" t="n">
        <v>1</v>
      </c>
      <c r="F37" t="n">
        <v>0</v>
      </c>
      <c r="G37" t="n">
        <v>0.1</v>
      </c>
      <c r="H37" t="n">
        <v>0.1</v>
      </c>
      <c r="I37" t="n">
        <v>0</v>
      </c>
      <c r="M37" t="n">
        <v>1</v>
      </c>
    </row>
    <row r="38">
      <c r="A38" t="inlineStr">
        <is>
          <t>BETTY CROCKER</t>
        </is>
      </c>
      <c r="B38" t="n">
        <v>2.98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M38" t="n">
        <v>1</v>
      </c>
    </row>
    <row r="39">
      <c r="A39" t="inlineStr">
        <is>
          <t>BEVERLY</t>
        </is>
      </c>
      <c r="B39" t="n">
        <v>1735105.19</v>
      </c>
      <c r="C39" t="n">
        <v>0</v>
      </c>
      <c r="D39" t="n">
        <v>653947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M39" t="n">
        <v>1</v>
      </c>
    </row>
    <row r="40">
      <c r="A40" t="inlineStr">
        <is>
          <t>BIBIGO</t>
        </is>
      </c>
      <c r="B40" t="n">
        <v>88144.79999999999</v>
      </c>
      <c r="C40" t="n">
        <v>5540.799025356</v>
      </c>
      <c r="D40" t="n">
        <v>40420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M40" t="n">
        <v>0</v>
      </c>
    </row>
    <row r="41">
      <c r="A41" t="inlineStr">
        <is>
          <t>BIG JOHN'S</t>
        </is>
      </c>
      <c r="B41" t="n">
        <v>1750843.925</v>
      </c>
      <c r="C41" t="n">
        <v>165.979999764</v>
      </c>
      <c r="D41" t="n">
        <v>188291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M41" t="n">
        <v>0</v>
      </c>
    </row>
    <row r="42">
      <c r="A42" t="inlineStr">
        <is>
          <t>BLACK TOP</t>
        </is>
      </c>
      <c r="B42" t="n">
        <v>13602228.22999999</v>
      </c>
      <c r="C42" t="n">
        <v>0</v>
      </c>
      <c r="D42" t="n">
        <v>3698548</v>
      </c>
      <c r="E42" t="n">
        <v>1</v>
      </c>
      <c r="F42" t="n">
        <v>0</v>
      </c>
      <c r="G42" t="n">
        <v>0.3</v>
      </c>
      <c r="H42" t="n">
        <v>0.2</v>
      </c>
      <c r="I42" t="n">
        <v>0</v>
      </c>
      <c r="M42" t="n">
        <v>1</v>
      </c>
    </row>
    <row r="43">
      <c r="A43" t="inlineStr">
        <is>
          <t>BLUE BONNET</t>
        </is>
      </c>
      <c r="B43" t="n">
        <v>180.06</v>
      </c>
      <c r="C43" t="n">
        <v>0</v>
      </c>
      <c r="D43" t="n">
        <v>112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M43" t="n">
        <v>1</v>
      </c>
    </row>
    <row r="44">
      <c r="A44" t="inlineStr">
        <is>
          <t>BLUE CORAL SEA FOOD</t>
        </is>
      </c>
      <c r="B44" t="n">
        <v>59121.64</v>
      </c>
      <c r="C44" t="n">
        <v>0</v>
      </c>
      <c r="D44" t="n">
        <v>6890.07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M44" t="n">
        <v>1</v>
      </c>
    </row>
    <row r="45">
      <c r="A45" t="inlineStr">
        <is>
          <t>BLUE HARBOR FISH CO.</t>
        </is>
      </c>
      <c r="B45" t="n">
        <v>3542.57</v>
      </c>
      <c r="C45" t="n">
        <v>0</v>
      </c>
      <c r="D45" t="n">
        <v>378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M45" t="n">
        <v>1</v>
      </c>
    </row>
    <row r="46">
      <c r="A46" t="inlineStr">
        <is>
          <t>BLUE PLATE MAYONNAISE</t>
        </is>
      </c>
      <c r="B46" t="n">
        <v>111424.53</v>
      </c>
      <c r="C46" t="n">
        <v>0</v>
      </c>
      <c r="D46" t="n">
        <v>28764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M46" t="n">
        <v>1</v>
      </c>
    </row>
    <row r="47">
      <c r="A47" t="inlineStr">
        <is>
          <t>BOHIO</t>
        </is>
      </c>
      <c r="B47" t="n">
        <v>227968.41</v>
      </c>
      <c r="C47" t="n">
        <v>0</v>
      </c>
      <c r="D47" t="n">
        <v>91923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M47" t="n">
        <v>1</v>
      </c>
    </row>
    <row r="48">
      <c r="A48" t="inlineStr">
        <is>
          <t>BORN SIMPLE</t>
        </is>
      </c>
      <c r="B48" t="n">
        <v>780746.12</v>
      </c>
      <c r="C48" t="n">
        <v>179044.544187612</v>
      </c>
      <c r="D48" t="n">
        <v>197592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M48" t="n">
        <v>0</v>
      </c>
    </row>
    <row r="49">
      <c r="A49" t="inlineStr">
        <is>
          <t>BRISTOL BREWING COMPANY</t>
        </is>
      </c>
      <c r="B49" t="n">
        <v>13983470.9892014</v>
      </c>
      <c r="C49" t="n">
        <v>13596.270019959</v>
      </c>
      <c r="D49" t="n">
        <v>3594346</v>
      </c>
      <c r="E49" t="n">
        <v>0</v>
      </c>
      <c r="F49" t="n">
        <v>0</v>
      </c>
      <c r="G49" t="n">
        <v>0.3</v>
      </c>
      <c r="H49" t="n">
        <v>0.2</v>
      </c>
      <c r="I49" t="n">
        <v>0.1</v>
      </c>
      <c r="M49" t="n">
        <v>0</v>
      </c>
    </row>
    <row r="50">
      <c r="A50" t="inlineStr">
        <is>
          <t>BROOKWOOD FARMS</t>
        </is>
      </c>
      <c r="B50" t="n">
        <v>4059026.15</v>
      </c>
      <c r="C50" t="n">
        <v>0</v>
      </c>
      <c r="D50" t="n">
        <v>817726</v>
      </c>
      <c r="E50" t="n">
        <v>1</v>
      </c>
      <c r="F50" t="n">
        <v>0</v>
      </c>
      <c r="G50" t="n">
        <v>0.1</v>
      </c>
      <c r="H50" t="n">
        <v>0</v>
      </c>
      <c r="I50" t="n">
        <v>0</v>
      </c>
      <c r="M50" t="n">
        <v>1</v>
      </c>
    </row>
    <row r="51">
      <c r="A51" t="inlineStr">
        <is>
          <t>BROTHER AND SISTER</t>
        </is>
      </c>
      <c r="B51" t="n">
        <v>348.6</v>
      </c>
      <c r="C51" t="n">
        <v>0</v>
      </c>
      <c r="D51" t="n">
        <v>70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M51" t="n">
        <v>1</v>
      </c>
    </row>
    <row r="52">
      <c r="A52" t="inlineStr">
        <is>
          <t>BROWNBERRY</t>
        </is>
      </c>
      <c r="B52" t="n">
        <v>1352770.69</v>
      </c>
      <c r="C52" t="n">
        <v>15389.115288607</v>
      </c>
      <c r="D52" t="n">
        <v>226335</v>
      </c>
      <c r="E52" t="n">
        <v>0</v>
      </c>
      <c r="F52" t="n">
        <v>0</v>
      </c>
      <c r="G52" t="n">
        <v>0</v>
      </c>
      <c r="H52" t="n">
        <v>0</v>
      </c>
      <c r="I52" t="n">
        <v>0.1</v>
      </c>
      <c r="M52" t="n">
        <v>0</v>
      </c>
    </row>
    <row r="53">
      <c r="A53" t="inlineStr">
        <is>
          <t>BRUNSWICK</t>
        </is>
      </c>
      <c r="B53" t="n">
        <v>11898517.01</v>
      </c>
      <c r="C53" t="n">
        <v>7.600000114</v>
      </c>
      <c r="D53" t="n">
        <v>6516880</v>
      </c>
      <c r="E53" t="n">
        <v>0</v>
      </c>
      <c r="F53" t="n">
        <v>0</v>
      </c>
      <c r="G53" t="n">
        <v>0.2</v>
      </c>
      <c r="H53" t="n">
        <v>0.3</v>
      </c>
      <c r="I53" t="n">
        <v>0</v>
      </c>
      <c r="M53" t="n">
        <v>0</v>
      </c>
    </row>
    <row r="54">
      <c r="A54" t="inlineStr">
        <is>
          <t>BRYAN</t>
        </is>
      </c>
      <c r="B54" t="n">
        <v>2319866.98</v>
      </c>
      <c r="C54" t="n">
        <v>0</v>
      </c>
      <c r="D54" t="n">
        <v>2344268</v>
      </c>
      <c r="E54" t="n">
        <v>1</v>
      </c>
      <c r="F54" t="n">
        <v>0</v>
      </c>
      <c r="G54" t="n">
        <v>0</v>
      </c>
      <c r="H54" t="n">
        <v>0.1</v>
      </c>
      <c r="I54" t="n">
        <v>0</v>
      </c>
      <c r="M54" t="n">
        <v>1</v>
      </c>
    </row>
    <row r="55">
      <c r="A55" t="inlineStr">
        <is>
          <t>BUENO</t>
        </is>
      </c>
      <c r="B55" t="n">
        <v>285559.22</v>
      </c>
      <c r="C55" t="n">
        <v>81.24000106699998</v>
      </c>
      <c r="D55" t="n">
        <v>28325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M55" t="n">
        <v>0</v>
      </c>
    </row>
    <row r="56">
      <c r="A56" t="inlineStr">
        <is>
          <t>BUENO FOODS</t>
        </is>
      </c>
      <c r="B56" t="n">
        <v>41159.34</v>
      </c>
      <c r="C56" t="n">
        <v>406.987826207</v>
      </c>
      <c r="D56" t="n">
        <v>3875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M56" t="n">
        <v>0</v>
      </c>
    </row>
    <row r="57">
      <c r="A57" t="inlineStr">
        <is>
          <t>BUMBLE BEE</t>
        </is>
      </c>
      <c r="B57" t="n">
        <v>349687502.7078501</v>
      </c>
      <c r="C57" t="n">
        <v>1417766.030213475</v>
      </c>
      <c r="D57" t="n">
        <v>143767334.46</v>
      </c>
      <c r="E57" t="n">
        <v>0</v>
      </c>
      <c r="F57" t="n">
        <v>0</v>
      </c>
      <c r="G57" t="n">
        <v>6.7</v>
      </c>
      <c r="H57" t="n">
        <v>6.3</v>
      </c>
      <c r="I57" t="n">
        <v>7.7</v>
      </c>
      <c r="M57" t="n">
        <v>0</v>
      </c>
    </row>
    <row r="58">
      <c r="A58" t="inlineStr">
        <is>
          <t>BUSH'S</t>
        </is>
      </c>
      <c r="B58" t="n">
        <v>3.48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M58" t="n">
        <v>1</v>
      </c>
    </row>
    <row r="59">
      <c r="A59" t="inlineStr">
        <is>
          <t>BUTTERFIELD FARMS</t>
        </is>
      </c>
      <c r="B59" t="n">
        <v>3318127.17</v>
      </c>
      <c r="C59" t="n">
        <v>0</v>
      </c>
      <c r="D59" t="n">
        <v>808816</v>
      </c>
      <c r="E59" t="n">
        <v>1</v>
      </c>
      <c r="F59" t="n">
        <v>0</v>
      </c>
      <c r="G59" t="n">
        <v>0.1</v>
      </c>
      <c r="H59" t="n">
        <v>0</v>
      </c>
      <c r="I59" t="n">
        <v>0</v>
      </c>
      <c r="M59" t="n">
        <v>1</v>
      </c>
    </row>
    <row r="60">
      <c r="A60" t="inlineStr">
        <is>
          <t>CAF SELLO ROJO</t>
        </is>
      </c>
      <c r="B60" t="n">
        <v>74916.81999999999</v>
      </c>
      <c r="C60" t="n">
        <v>0</v>
      </c>
      <c r="D60" t="n">
        <v>31631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M60" t="n">
        <v>1</v>
      </c>
    </row>
    <row r="61">
      <c r="A61" t="inlineStr">
        <is>
          <t>CAFÉ SELLO ROJO</t>
        </is>
      </c>
      <c r="B61" t="n">
        <v>8931.940000000001</v>
      </c>
      <c r="C61" t="n">
        <v>0</v>
      </c>
      <c r="D61" t="n">
        <v>3769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M61" t="n">
        <v>1</v>
      </c>
    </row>
    <row r="62">
      <c r="A62" t="inlineStr">
        <is>
          <t>CAJUN TWO STEP</t>
        </is>
      </c>
      <c r="B62" t="n">
        <v>390195.3199999999</v>
      </c>
      <c r="C62" t="n">
        <v>0</v>
      </c>
      <c r="D62" t="n">
        <v>70063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M62" t="n">
        <v>1</v>
      </c>
    </row>
    <row r="63">
      <c r="A63" t="inlineStr">
        <is>
          <t>CALIFORNIA GIRL</t>
        </is>
      </c>
      <c r="B63" t="n">
        <v>10845777.13</v>
      </c>
      <c r="C63" t="n">
        <v>0</v>
      </c>
      <c r="D63" t="n">
        <v>5368186</v>
      </c>
      <c r="E63" t="n">
        <v>1</v>
      </c>
      <c r="F63" t="n">
        <v>0</v>
      </c>
      <c r="G63" t="n">
        <v>0.2</v>
      </c>
      <c r="H63" t="n">
        <v>0.2</v>
      </c>
      <c r="I63" t="n">
        <v>0</v>
      </c>
      <c r="M63" t="n">
        <v>1</v>
      </c>
    </row>
    <row r="64">
      <c r="A64" t="inlineStr">
        <is>
          <t>CAMELLIA</t>
        </is>
      </c>
      <c r="B64" t="n">
        <v>-0.75</v>
      </c>
      <c r="C64" t="n">
        <v>0</v>
      </c>
      <c r="D64" t="n">
        <v>-1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M64" t="n">
        <v>1</v>
      </c>
    </row>
    <row r="65">
      <c r="A65" t="inlineStr">
        <is>
          <t>CAMPBELL'S</t>
        </is>
      </c>
      <c r="B65" t="n">
        <v>13.41</v>
      </c>
      <c r="C65" t="n">
        <v>0</v>
      </c>
      <c r="D65" t="n">
        <v>14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M65" t="n">
        <v>1</v>
      </c>
    </row>
    <row r="66">
      <c r="A66" t="inlineStr">
        <is>
          <t>CAMPBELL'S READY MEALS</t>
        </is>
      </c>
      <c r="B66" t="n">
        <v>1.6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M66" t="n">
        <v>1</v>
      </c>
    </row>
    <row r="67">
      <c r="A67" t="inlineStr">
        <is>
          <t>CAMPBELLS HEALTHY REQUEST</t>
        </is>
      </c>
      <c r="B67" t="n">
        <v>7.920000000000001</v>
      </c>
      <c r="C67" t="n">
        <v>0</v>
      </c>
      <c r="D67" t="n">
        <v>4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L67" t="n">
        <v>2</v>
      </c>
      <c r="M67" t="n">
        <v>0</v>
      </c>
    </row>
    <row r="68">
      <c r="A68" t="inlineStr">
        <is>
          <t>CANARIO</t>
        </is>
      </c>
      <c r="B68" t="n">
        <v>267144.84</v>
      </c>
      <c r="C68" t="n">
        <v>0</v>
      </c>
      <c r="D68" t="n">
        <v>108593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M68" t="n">
        <v>1</v>
      </c>
    </row>
    <row r="69">
      <c r="A69" t="inlineStr">
        <is>
          <t>CANNED ALBO</t>
        </is>
      </c>
      <c r="B69" t="n">
        <v>51249.81</v>
      </c>
      <c r="C69" t="n">
        <v>0</v>
      </c>
      <c r="D69" t="n">
        <v>11368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M69" t="n">
        <v>1</v>
      </c>
    </row>
    <row r="70">
      <c r="A70" t="inlineStr">
        <is>
          <t>CANOE</t>
        </is>
      </c>
      <c r="B70" t="n">
        <v>20897.07</v>
      </c>
      <c r="C70" t="n">
        <v>0</v>
      </c>
      <c r="D70" t="n">
        <v>423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M70" t="n">
        <v>1</v>
      </c>
    </row>
    <row r="71">
      <c r="A71" t="inlineStr">
        <is>
          <t>CARIBBEAN RHYTHM</t>
        </is>
      </c>
      <c r="B71" t="n">
        <v>10662.85</v>
      </c>
      <c r="C71" t="n">
        <v>0</v>
      </c>
      <c r="D71" t="n">
        <v>2246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M71" t="n">
        <v>1</v>
      </c>
    </row>
    <row r="72">
      <c r="A72" t="inlineStr">
        <is>
          <t>CARIBBEAN SUNSHINE</t>
        </is>
      </c>
      <c r="B72" t="n">
        <v>133.4</v>
      </c>
      <c r="C72" t="n">
        <v>0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M72" t="n">
        <v>1</v>
      </c>
    </row>
    <row r="73">
      <c r="A73" t="inlineStr">
        <is>
          <t>CARMELA HOME</t>
        </is>
      </c>
      <c r="B73" t="n">
        <v>21539633.34</v>
      </c>
      <c r="C73" t="n">
        <v>0</v>
      </c>
      <c r="D73" t="n">
        <v>30226244</v>
      </c>
      <c r="E73" t="n">
        <v>1</v>
      </c>
      <c r="F73" t="n">
        <v>0</v>
      </c>
      <c r="G73" t="n">
        <v>0.4</v>
      </c>
      <c r="H73" t="n">
        <v>1.3</v>
      </c>
      <c r="I73" t="n">
        <v>0</v>
      </c>
      <c r="M73" t="n">
        <v>1</v>
      </c>
    </row>
    <row r="74">
      <c r="A74" t="inlineStr">
        <is>
          <t>CAROLINA</t>
        </is>
      </c>
      <c r="B74" t="n">
        <v>54437.4</v>
      </c>
      <c r="C74" t="n">
        <v>3184.830007166001</v>
      </c>
      <c r="D74" t="n">
        <v>32251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M74" t="n">
        <v>0</v>
      </c>
    </row>
    <row r="75">
      <c r="A75" t="inlineStr">
        <is>
          <t>CASTLEBERRY'S</t>
        </is>
      </c>
      <c r="B75" t="n">
        <v>13274071.3</v>
      </c>
      <c r="C75" t="n">
        <v>1192.480006264</v>
      </c>
      <c r="D75" t="n">
        <v>9883734</v>
      </c>
      <c r="E75" t="n">
        <v>0</v>
      </c>
      <c r="F75" t="n">
        <v>0</v>
      </c>
      <c r="G75" t="n">
        <v>0.3</v>
      </c>
      <c r="H75" t="n">
        <v>0.4</v>
      </c>
      <c r="I75" t="n">
        <v>0</v>
      </c>
      <c r="M75" t="n">
        <v>0</v>
      </c>
    </row>
    <row r="76">
      <c r="A76" t="inlineStr">
        <is>
          <t>CEDEIRA</t>
        </is>
      </c>
      <c r="B76" t="n">
        <v>2212096.98</v>
      </c>
      <c r="C76" t="n">
        <v>0</v>
      </c>
      <c r="D76" t="n">
        <v>1263086</v>
      </c>
      <c r="E76" t="n">
        <v>1</v>
      </c>
      <c r="F76" t="n">
        <v>0</v>
      </c>
      <c r="G76" t="n">
        <v>0</v>
      </c>
      <c r="H76" t="n">
        <v>0.1</v>
      </c>
      <c r="I76" t="n">
        <v>0</v>
      </c>
      <c r="M76" t="n">
        <v>1</v>
      </c>
    </row>
    <row r="77">
      <c r="A77" t="inlineStr">
        <is>
          <t>CELEBRITY MANIKINS</t>
        </is>
      </c>
      <c r="B77" t="n">
        <v>83.64</v>
      </c>
      <c r="C77" t="n">
        <v>0</v>
      </c>
      <c r="D77" t="n">
        <v>27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M77" t="n">
        <v>1</v>
      </c>
    </row>
    <row r="78">
      <c r="A78" t="inlineStr">
        <is>
          <t>CENTO</t>
        </is>
      </c>
      <c r="B78" t="n">
        <v>2626294.28</v>
      </c>
      <c r="C78" t="n">
        <v>138.199998563</v>
      </c>
      <c r="D78" t="n">
        <v>1337670</v>
      </c>
      <c r="E78" t="n">
        <v>0</v>
      </c>
      <c r="F78" t="n">
        <v>0</v>
      </c>
      <c r="G78" t="n">
        <v>0.1</v>
      </c>
      <c r="H78" t="n">
        <v>0.1</v>
      </c>
      <c r="I78" t="n">
        <v>0</v>
      </c>
      <c r="M78" t="n">
        <v>0</v>
      </c>
    </row>
    <row r="79">
      <c r="A79" t="inlineStr">
        <is>
          <t>CENTURY</t>
        </is>
      </c>
      <c r="B79" t="n">
        <v>2.94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M79" t="n">
        <v>1</v>
      </c>
    </row>
    <row r="80">
      <c r="A80" t="inlineStr">
        <is>
          <t>CERTIFIED HUMANE RAISED AND HANDLED</t>
        </is>
      </c>
      <c r="B80" t="n">
        <v>0</v>
      </c>
      <c r="C80" t="n">
        <v>2282.815780405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M80" t="n">
        <v>1</v>
      </c>
    </row>
    <row r="81">
      <c r="A81" t="inlineStr">
        <is>
          <t>CHEETOS</t>
        </is>
      </c>
      <c r="B81" t="n">
        <v>752136.0800000001</v>
      </c>
      <c r="C81" t="n">
        <v>9452.111832347</v>
      </c>
      <c r="D81" t="n">
        <v>306103</v>
      </c>
      <c r="E81" t="n">
        <v>0</v>
      </c>
      <c r="F81" t="n">
        <v>0</v>
      </c>
      <c r="G81" t="n">
        <v>0</v>
      </c>
      <c r="H81" t="n">
        <v>0</v>
      </c>
      <c r="I81" t="n">
        <v>0.1</v>
      </c>
      <c r="M81" t="n">
        <v>0</v>
      </c>
    </row>
    <row r="82">
      <c r="A82" t="inlineStr">
        <is>
          <t>CHEF SORAYA</t>
        </is>
      </c>
      <c r="B82" t="n">
        <v>522.83</v>
      </c>
      <c r="C82" t="n">
        <v>0</v>
      </c>
      <c r="D82" t="n">
        <v>239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M82" t="n">
        <v>1</v>
      </c>
    </row>
    <row r="83">
      <c r="A83" t="inlineStr">
        <is>
          <t>CHEF WOO</t>
        </is>
      </c>
      <c r="B83" t="n">
        <v>63045.46</v>
      </c>
      <c r="C83" t="n">
        <v>0</v>
      </c>
      <c r="D83" t="n">
        <v>37284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M83" t="n">
        <v>1</v>
      </c>
    </row>
    <row r="84">
      <c r="A84" t="inlineStr">
        <is>
          <t>CHEF-MATE</t>
        </is>
      </c>
      <c r="B84" t="n">
        <v>36324.680000002</v>
      </c>
      <c r="C84" t="n">
        <v>1981.510011633</v>
      </c>
      <c r="D84" t="n">
        <v>1770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M84" t="n">
        <v>0</v>
      </c>
    </row>
    <row r="85">
      <c r="A85" t="inlineStr">
        <is>
          <t>CHICKEN OF THE SEA</t>
        </is>
      </c>
      <c r="B85" t="n">
        <v>179811272.1866667</v>
      </c>
      <c r="C85" t="n">
        <v>510813.3488217321</v>
      </c>
      <c r="D85" t="n">
        <v>80833416</v>
      </c>
      <c r="E85" t="n">
        <v>0</v>
      </c>
      <c r="F85" t="n">
        <v>0</v>
      </c>
      <c r="G85" t="n">
        <v>3.4</v>
      </c>
      <c r="H85" t="n">
        <v>3.5</v>
      </c>
      <c r="I85" t="n">
        <v>2.8</v>
      </c>
      <c r="M85" t="n">
        <v>0</v>
      </c>
    </row>
    <row r="86">
      <c r="A86" t="inlineStr">
        <is>
          <t>CHILLI MAN</t>
        </is>
      </c>
      <c r="B86" t="n">
        <v>2524533.32</v>
      </c>
      <c r="C86" t="n">
        <v>44275.539926608</v>
      </c>
      <c r="D86" t="n">
        <v>1117131</v>
      </c>
      <c r="E86" t="n">
        <v>0</v>
      </c>
      <c r="F86" t="n">
        <v>0</v>
      </c>
      <c r="G86" t="n">
        <v>0</v>
      </c>
      <c r="H86" t="n">
        <v>0</v>
      </c>
      <c r="I86" t="n">
        <v>0.2</v>
      </c>
      <c r="M86" t="n">
        <v>0</v>
      </c>
    </row>
    <row r="87">
      <c r="A87" t="inlineStr">
        <is>
          <t>CHUNKY</t>
        </is>
      </c>
      <c r="B87" t="n">
        <v>36199771.98</v>
      </c>
      <c r="C87" t="n">
        <v>145478.405084136</v>
      </c>
      <c r="D87" t="n">
        <v>13420461</v>
      </c>
      <c r="E87" t="n">
        <v>0</v>
      </c>
      <c r="F87" t="n">
        <v>0</v>
      </c>
      <c r="G87" t="n">
        <v>0.7</v>
      </c>
      <c r="H87" t="n">
        <v>0.6</v>
      </c>
      <c r="I87" t="n">
        <v>0.8</v>
      </c>
      <c r="L87" t="n">
        <v>2</v>
      </c>
      <c r="M87" t="n">
        <v>0</v>
      </c>
    </row>
    <row r="88">
      <c r="A88" t="inlineStr">
        <is>
          <t>CINCINNATI RECIPE</t>
        </is>
      </c>
      <c r="B88" t="n">
        <v>2032901.839999999</v>
      </c>
      <c r="C88" t="n">
        <v>0</v>
      </c>
      <c r="D88" t="n">
        <v>462635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M88" t="n">
        <v>1</v>
      </c>
    </row>
    <row r="89">
      <c r="A89" t="inlineStr">
        <is>
          <t>COLE'S</t>
        </is>
      </c>
      <c r="B89" t="n">
        <v>3537309.53</v>
      </c>
      <c r="C89" t="n">
        <v>55769.00021045801</v>
      </c>
      <c r="D89" t="n">
        <v>788178</v>
      </c>
      <c r="E89" t="n">
        <v>0</v>
      </c>
      <c r="F89" t="n">
        <v>0</v>
      </c>
      <c r="G89" t="n">
        <v>0.1</v>
      </c>
      <c r="H89" t="n">
        <v>0</v>
      </c>
      <c r="I89" t="n">
        <v>0.3</v>
      </c>
      <c r="M89" t="n">
        <v>0</v>
      </c>
    </row>
    <row r="90">
      <c r="A90" t="inlineStr">
        <is>
          <t>COLOSO</t>
        </is>
      </c>
      <c r="B90" t="n">
        <v>264083.53</v>
      </c>
      <c r="C90" t="n">
        <v>0</v>
      </c>
      <c r="D90" t="n">
        <v>130097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M90" t="n">
        <v>1</v>
      </c>
    </row>
    <row r="91">
      <c r="A91" t="inlineStr">
        <is>
          <t>COMING SOON</t>
        </is>
      </c>
      <c r="B91" t="n">
        <v>15954.61</v>
      </c>
      <c r="C91" t="n">
        <v>51.59120851700001</v>
      </c>
      <c r="D91" t="n">
        <v>6184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K91" t="n">
        <v>1</v>
      </c>
      <c r="M91" t="n">
        <v>1</v>
      </c>
    </row>
    <row r="92">
      <c r="A92" t="inlineStr">
        <is>
          <t>COMPANION</t>
        </is>
      </c>
      <c r="B92" t="n">
        <v>59.68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M92" t="n">
        <v>1</v>
      </c>
    </row>
    <row r="93">
      <c r="A93" t="inlineStr">
        <is>
          <t>COMPLEATS</t>
        </is>
      </c>
      <c r="B93" t="n">
        <v>68160247.14967652</v>
      </c>
      <c r="C93" t="n">
        <v>312664.7349217681</v>
      </c>
      <c r="D93" t="n">
        <v>30100576</v>
      </c>
      <c r="E93" t="n">
        <v>0</v>
      </c>
      <c r="F93" t="n">
        <v>0</v>
      </c>
      <c r="G93" t="n">
        <v>1.3</v>
      </c>
      <c r="H93" t="n">
        <v>1.3</v>
      </c>
      <c r="I93" t="n">
        <v>1.7</v>
      </c>
      <c r="M93" t="n">
        <v>0</v>
      </c>
    </row>
    <row r="94">
      <c r="A94" t="inlineStr">
        <is>
          <t>CONAGRA BRANDS</t>
        </is>
      </c>
      <c r="B94" t="n">
        <v>123156091.57</v>
      </c>
      <c r="C94" t="n">
        <v>29472.870153172</v>
      </c>
      <c r="D94" t="n">
        <v>49904717</v>
      </c>
      <c r="E94" t="n">
        <v>0</v>
      </c>
      <c r="F94" t="n">
        <v>0</v>
      </c>
      <c r="G94" t="n">
        <v>2.3</v>
      </c>
      <c r="H94" t="n">
        <v>2.2</v>
      </c>
      <c r="I94" t="n">
        <v>0.2</v>
      </c>
      <c r="M94" t="n">
        <v>0</v>
      </c>
    </row>
    <row r="95">
      <c r="A95" t="inlineStr">
        <is>
          <t>CORA</t>
        </is>
      </c>
      <c r="B95" t="n">
        <v>737.51</v>
      </c>
      <c r="C95" t="n">
        <v>0</v>
      </c>
      <c r="D95" t="n">
        <v>248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M95" t="n">
        <v>1</v>
      </c>
    </row>
    <row r="96">
      <c r="A96" t="inlineStr">
        <is>
          <t>CORAL</t>
        </is>
      </c>
      <c r="B96" t="n">
        <v>669586.08</v>
      </c>
      <c r="C96" t="n">
        <v>0</v>
      </c>
      <c r="D96" t="n">
        <v>522196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M96" t="n">
        <v>1</v>
      </c>
    </row>
    <row r="97">
      <c r="A97" t="inlineStr">
        <is>
          <t>COUNTRY ARCHER</t>
        </is>
      </c>
      <c r="B97" t="n">
        <v>7011.65</v>
      </c>
      <c r="C97" t="n">
        <v>0</v>
      </c>
      <c r="D97" t="n">
        <v>683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M97" t="n">
        <v>1</v>
      </c>
    </row>
    <row r="98">
      <c r="A98" t="inlineStr">
        <is>
          <t>COUNTRY CROCK</t>
        </is>
      </c>
      <c r="B98" t="n">
        <v>0</v>
      </c>
      <c r="C98" t="n">
        <v>4.109999939000001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M98" t="n">
        <v>1</v>
      </c>
    </row>
    <row r="99">
      <c r="A99" t="inlineStr">
        <is>
          <t>CPG UNMEAT</t>
        </is>
      </c>
      <c r="B99" t="n">
        <v>1599889.95</v>
      </c>
      <c r="C99" t="n">
        <v>137288.899837123</v>
      </c>
      <c r="D99" t="n">
        <v>485183</v>
      </c>
      <c r="E99" t="n">
        <v>0</v>
      </c>
      <c r="F99" t="n">
        <v>0</v>
      </c>
      <c r="G99" t="n">
        <v>0</v>
      </c>
      <c r="H99" t="n">
        <v>0</v>
      </c>
      <c r="I99" t="n">
        <v>0.7</v>
      </c>
      <c r="M99" t="n">
        <v>0</v>
      </c>
    </row>
    <row r="100">
      <c r="A100" t="inlineStr">
        <is>
          <t>CREAMETTE</t>
        </is>
      </c>
      <c r="B100" t="n">
        <v>139206.78</v>
      </c>
      <c r="C100" t="n">
        <v>7899.815782522999</v>
      </c>
      <c r="D100" t="n">
        <v>93987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M100" t="n">
        <v>0</v>
      </c>
    </row>
    <row r="101">
      <c r="A101" t="inlineStr">
        <is>
          <t>CROSSE &amp; BLACKWELL</t>
        </is>
      </c>
      <c r="B101" t="n">
        <v>1078.64</v>
      </c>
      <c r="C101" t="n">
        <v>0</v>
      </c>
      <c r="D101" t="n">
        <v>194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M101" t="n">
        <v>1</v>
      </c>
    </row>
    <row r="102">
      <c r="A102" t="inlineStr">
        <is>
          <t>CROWN</t>
        </is>
      </c>
      <c r="B102" t="n">
        <v>85503.04000000001</v>
      </c>
      <c r="C102" t="n">
        <v>0</v>
      </c>
      <c r="D102" t="n">
        <v>9589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M102" t="n">
        <v>1</v>
      </c>
    </row>
    <row r="103">
      <c r="A103" t="inlineStr">
        <is>
          <t>CROWN PRINCE</t>
        </is>
      </c>
      <c r="B103" t="n">
        <v>14781190.682</v>
      </c>
      <c r="C103" t="n">
        <v>10503.290211008</v>
      </c>
      <c r="D103" t="n">
        <v>7226751</v>
      </c>
      <c r="E103" t="n">
        <v>0</v>
      </c>
      <c r="F103" t="n">
        <v>0</v>
      </c>
      <c r="G103" t="n">
        <v>0.3</v>
      </c>
      <c r="H103" t="n">
        <v>0.3</v>
      </c>
      <c r="I103" t="n">
        <v>0.1</v>
      </c>
      <c r="M103" t="n">
        <v>0</v>
      </c>
    </row>
    <row r="104">
      <c r="A104" t="inlineStr">
        <is>
          <t>CROWN PRINCE NATURAL</t>
        </is>
      </c>
      <c r="B104" t="n">
        <v>45733.980000003</v>
      </c>
      <c r="C104" t="n">
        <v>0</v>
      </c>
      <c r="D104" t="n">
        <v>10552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M104" t="n">
        <v>1</v>
      </c>
    </row>
    <row r="105">
      <c r="A105" t="inlineStr">
        <is>
          <t>CUCINA &amp; AMORE</t>
        </is>
      </c>
      <c r="B105" t="n">
        <v>3238.06</v>
      </c>
      <c r="C105" t="n">
        <v>0</v>
      </c>
      <c r="D105" t="n">
        <v>111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M105" t="n">
        <v>1</v>
      </c>
    </row>
    <row r="106">
      <c r="A106" t="inlineStr">
        <is>
          <t>CUGINO'S</t>
        </is>
      </c>
      <c r="B106" t="n">
        <v>0</v>
      </c>
      <c r="C106" t="n">
        <v>1501.450002349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M106" t="n">
        <v>1</v>
      </c>
    </row>
    <row r="107">
      <c r="A107" t="inlineStr">
        <is>
          <t>CUSTARD STAND</t>
        </is>
      </c>
      <c r="B107" t="n">
        <v>34079.45</v>
      </c>
      <c r="C107" t="n">
        <v>0</v>
      </c>
      <c r="D107" t="n">
        <v>5829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M107" t="n">
        <v>1</v>
      </c>
    </row>
    <row r="108">
      <c r="A108" t="inlineStr">
        <is>
          <t>DAILY CHEF</t>
        </is>
      </c>
      <c r="B108" t="n">
        <v>76.97</v>
      </c>
      <c r="C108" t="n">
        <v>0</v>
      </c>
      <c r="D108" t="n">
        <v>7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M108" t="n">
        <v>1</v>
      </c>
    </row>
    <row r="109">
      <c r="A109" t="inlineStr">
        <is>
          <t>DAIYA</t>
        </is>
      </c>
      <c r="B109" t="n">
        <v>609191.9400000001</v>
      </c>
      <c r="C109" t="n">
        <v>41078.260421307</v>
      </c>
      <c r="D109" t="n">
        <v>190486</v>
      </c>
      <c r="E109" t="n">
        <v>0</v>
      </c>
      <c r="F109" t="n">
        <v>0</v>
      </c>
      <c r="G109" t="n">
        <v>0</v>
      </c>
      <c r="H109" t="n">
        <v>0</v>
      </c>
      <c r="I109" t="n">
        <v>0.2</v>
      </c>
      <c r="M109" t="n">
        <v>0</v>
      </c>
    </row>
    <row r="110">
      <c r="A110" t="inlineStr">
        <is>
          <t>DAK</t>
        </is>
      </c>
      <c r="B110" t="n">
        <v>322223.01</v>
      </c>
      <c r="C110" t="n">
        <v>0</v>
      </c>
      <c r="D110" t="n">
        <v>126726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M110" t="n">
        <v>1</v>
      </c>
    </row>
    <row r="111">
      <c r="A111" t="inlineStr">
        <is>
          <t>DAUFUSKI BRAND</t>
        </is>
      </c>
      <c r="B111" t="n">
        <v>117.37</v>
      </c>
      <c r="C111" t="n">
        <v>0</v>
      </c>
      <c r="D111" t="n">
        <v>69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M111" t="n">
        <v>1</v>
      </c>
    </row>
    <row r="112">
      <c r="A112" t="inlineStr">
        <is>
          <t>DEL MONTE</t>
        </is>
      </c>
      <c r="B112" t="n">
        <v>0</v>
      </c>
      <c r="C112" t="n">
        <v>185.210987504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M112" t="n">
        <v>1</v>
      </c>
    </row>
    <row r="113">
      <c r="A113" t="inlineStr">
        <is>
          <t>DEL REAL FOODS</t>
        </is>
      </c>
      <c r="B113" t="n">
        <v>0</v>
      </c>
      <c r="C113" t="n">
        <v>13836.671482939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0.1</v>
      </c>
      <c r="M113" t="n">
        <v>1</v>
      </c>
    </row>
    <row r="114">
      <c r="A114" t="inlineStr">
        <is>
          <t>DELALLO</t>
        </is>
      </c>
      <c r="B114" t="n">
        <v>62298.08</v>
      </c>
      <c r="C114" t="n">
        <v>0</v>
      </c>
      <c r="D114" t="n">
        <v>31410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M114" t="n">
        <v>1</v>
      </c>
    </row>
    <row r="115">
      <c r="A115" t="inlineStr">
        <is>
          <t>DELAMARIS</t>
        </is>
      </c>
      <c r="B115" t="n">
        <v>16.72</v>
      </c>
      <c r="C115" t="n">
        <v>0</v>
      </c>
      <c r="D115" t="n">
        <v>4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M115" t="n">
        <v>1</v>
      </c>
    </row>
    <row r="116">
      <c r="A116" t="inlineStr">
        <is>
          <t>DELAMARIS IZOLA</t>
        </is>
      </c>
      <c r="B116" t="n">
        <v>13.09</v>
      </c>
      <c r="C116" t="n">
        <v>0</v>
      </c>
      <c r="D116" t="n">
        <v>7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M116" t="n">
        <v>1</v>
      </c>
    </row>
    <row r="117">
      <c r="A117" t="inlineStr">
        <is>
          <t>DELCA</t>
        </is>
      </c>
      <c r="B117" t="n">
        <v>17.48</v>
      </c>
      <c r="C117" t="n">
        <v>0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M117" t="n">
        <v>1</v>
      </c>
    </row>
    <row r="118">
      <c r="A118" t="inlineStr">
        <is>
          <t>DELGROSSO</t>
        </is>
      </c>
      <c r="B118" t="n">
        <v>0</v>
      </c>
      <c r="C118" t="n">
        <v>13805.679828205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0.1</v>
      </c>
      <c r="M118" t="n">
        <v>1</v>
      </c>
    </row>
    <row r="119">
      <c r="A119" t="inlineStr">
        <is>
          <t>DELL'ALPE</t>
        </is>
      </c>
      <c r="B119" t="n">
        <v>1111.14</v>
      </c>
      <c r="C119" t="n">
        <v>0</v>
      </c>
      <c r="D119" t="n">
        <v>37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M119" t="n">
        <v>1</v>
      </c>
    </row>
    <row r="120">
      <c r="A120" t="inlineStr">
        <is>
          <t>DEMING'S</t>
        </is>
      </c>
      <c r="B120" t="n">
        <v>11127273.67770833</v>
      </c>
      <c r="C120" t="n">
        <v>0</v>
      </c>
      <c r="D120" t="n">
        <v>1798131</v>
      </c>
      <c r="E120" t="n">
        <v>1</v>
      </c>
      <c r="F120" t="n">
        <v>0</v>
      </c>
      <c r="G120" t="n">
        <v>0.2</v>
      </c>
      <c r="H120" t="n">
        <v>0.1</v>
      </c>
      <c r="I120" t="n">
        <v>0</v>
      </c>
      <c r="M120" t="n">
        <v>1</v>
      </c>
    </row>
    <row r="121">
      <c r="A121" t="inlineStr">
        <is>
          <t>DENNISON'S</t>
        </is>
      </c>
      <c r="B121" t="n">
        <v>11560470.665</v>
      </c>
      <c r="C121" t="n">
        <v>0</v>
      </c>
      <c r="D121" t="n">
        <v>5615719</v>
      </c>
      <c r="E121" t="n">
        <v>1</v>
      </c>
      <c r="F121" t="n">
        <v>0</v>
      </c>
      <c r="G121" t="n">
        <v>0.2</v>
      </c>
      <c r="H121" t="n">
        <v>0.2</v>
      </c>
      <c r="I121" t="n">
        <v>0</v>
      </c>
      <c r="M121" t="n">
        <v>1</v>
      </c>
    </row>
    <row r="122">
      <c r="A122" t="inlineStr">
        <is>
          <t>DERBY</t>
        </is>
      </c>
      <c r="B122" t="n">
        <v>1167002.48</v>
      </c>
      <c r="C122" t="n">
        <v>0</v>
      </c>
      <c r="D122" t="n">
        <v>476699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M122" t="n">
        <v>1</v>
      </c>
    </row>
    <row r="123">
      <c r="A123" t="inlineStr">
        <is>
          <t>DICKINSON'S</t>
        </is>
      </c>
      <c r="B123" t="n">
        <v>2.24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M123" t="n">
        <v>1</v>
      </c>
    </row>
    <row r="124">
      <c r="A124" t="inlineStr">
        <is>
          <t>DINTY MOORE</t>
        </is>
      </c>
      <c r="B124" t="n">
        <v>560869.14</v>
      </c>
      <c r="C124" t="n">
        <v>4979.516973926</v>
      </c>
      <c r="D124" t="n">
        <v>51399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M124" t="n">
        <v>0</v>
      </c>
    </row>
    <row r="125">
      <c r="A125" t="inlineStr">
        <is>
          <t>DIVINA</t>
        </is>
      </c>
      <c r="B125" t="n">
        <v>12459.76</v>
      </c>
      <c r="C125" t="n">
        <v>0</v>
      </c>
      <c r="D125" t="n">
        <v>293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M125" t="n">
        <v>1</v>
      </c>
    </row>
    <row r="126">
      <c r="A126" t="inlineStr">
        <is>
          <t>DIXIE CHILI &amp; DELI</t>
        </is>
      </c>
      <c r="B126" t="n">
        <v>318472.86</v>
      </c>
      <c r="C126" t="n">
        <v>0</v>
      </c>
      <c r="D126" t="n">
        <v>77098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M126" t="n">
        <v>1</v>
      </c>
    </row>
    <row r="127">
      <c r="A127" t="inlineStr">
        <is>
          <t>DOA MARA</t>
        </is>
      </c>
      <c r="B127" t="n">
        <v>26.46</v>
      </c>
      <c r="C127" t="n">
        <v>0</v>
      </c>
      <c r="D127" t="n">
        <v>19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M127" t="n">
        <v>1</v>
      </c>
    </row>
    <row r="128">
      <c r="A128" t="inlineStr">
        <is>
          <t>DOBROVA</t>
        </is>
      </c>
      <c r="B128" t="n">
        <v>10440.25</v>
      </c>
      <c r="C128" t="n">
        <v>0</v>
      </c>
      <c r="D128" t="n">
        <v>2532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M128" t="n">
        <v>1</v>
      </c>
    </row>
    <row r="129">
      <c r="A129" t="inlineStr">
        <is>
          <t>DOLORES</t>
        </is>
      </c>
      <c r="B129" t="n">
        <v>43350.15</v>
      </c>
      <c r="C129" t="n">
        <v>36.30000026599999</v>
      </c>
      <c r="D129" t="n">
        <v>25209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M129" t="n">
        <v>0</v>
      </c>
    </row>
    <row r="130">
      <c r="A130" t="inlineStr">
        <is>
          <t>DONGWON</t>
        </is>
      </c>
      <c r="B130" t="n">
        <v>6.54</v>
      </c>
      <c r="C130" t="n">
        <v>0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M130" t="n">
        <v>1</v>
      </c>
    </row>
    <row r="131">
      <c r="A131" t="inlineStr">
        <is>
          <t>DOUBLE "Q"</t>
        </is>
      </c>
      <c r="B131" t="n">
        <v>24527552.87483339</v>
      </c>
      <c r="C131" t="n">
        <v>0</v>
      </c>
      <c r="D131" t="n">
        <v>6207340</v>
      </c>
      <c r="E131" t="n">
        <v>1</v>
      </c>
      <c r="F131" t="n">
        <v>0</v>
      </c>
      <c r="G131" t="n">
        <v>0.5</v>
      </c>
      <c r="H131" t="n">
        <v>0.3</v>
      </c>
      <c r="I131" t="n">
        <v>0</v>
      </c>
      <c r="M131" t="n">
        <v>1</v>
      </c>
    </row>
    <row r="132">
      <c r="A132" t="inlineStr">
        <is>
          <t>DO��A MAR��A</t>
        </is>
      </c>
      <c r="B132" t="n">
        <v>114.48</v>
      </c>
      <c r="C132" t="n">
        <v>0</v>
      </c>
      <c r="D132" t="n">
        <v>18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M132" t="n">
        <v>1</v>
      </c>
    </row>
    <row r="133">
      <c r="A133" t="inlineStr">
        <is>
          <t>DR. MCDOUGALL'S RIGHT FOODS</t>
        </is>
      </c>
      <c r="B133" t="n">
        <v>816.3</v>
      </c>
      <c r="C133" t="n">
        <v>0</v>
      </c>
      <c r="D133" t="n">
        <v>43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M133" t="n">
        <v>1</v>
      </c>
    </row>
    <row r="134">
      <c r="A134" t="inlineStr">
        <is>
          <t>EAGLE 20'S</t>
        </is>
      </c>
      <c r="B134" t="n">
        <v>106.8</v>
      </c>
      <c r="C134" t="n">
        <v>0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M134" t="n">
        <v>1</v>
      </c>
    </row>
    <row r="135">
      <c r="A135" t="inlineStr">
        <is>
          <t>EARTH BOUND</t>
        </is>
      </c>
      <c r="B135" t="n">
        <v>77216.8</v>
      </c>
      <c r="C135" t="n">
        <v>6212.120039197</v>
      </c>
      <c r="D135" t="n">
        <v>13042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M135" t="n">
        <v>0</v>
      </c>
    </row>
    <row r="136">
      <c r="A136" t="inlineStr">
        <is>
          <t>EAST POINT</t>
        </is>
      </c>
      <c r="B136" t="n">
        <v>-13.44</v>
      </c>
      <c r="C136" t="n">
        <v>0</v>
      </c>
      <c r="D136" t="n">
        <v>-3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M136" t="n">
        <v>1</v>
      </c>
    </row>
    <row r="137">
      <c r="A137" t="inlineStr">
        <is>
          <t>ECKRICH</t>
        </is>
      </c>
      <c r="B137" t="n">
        <v>0</v>
      </c>
      <c r="C137" t="n">
        <v>20034.388301488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0.1</v>
      </c>
      <c r="M137" t="n">
        <v>1</v>
      </c>
    </row>
    <row r="138">
      <c r="A138" t="inlineStr">
        <is>
          <t>EL EBRO</t>
        </is>
      </c>
      <c r="B138" t="n">
        <v>168677.66</v>
      </c>
      <c r="C138" t="n">
        <v>0</v>
      </c>
      <c r="D138" t="n">
        <v>58511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M138" t="n">
        <v>1</v>
      </c>
    </row>
    <row r="139">
      <c r="A139" t="inlineStr">
        <is>
          <t>EL MEXICANO</t>
        </is>
      </c>
      <c r="B139" t="n">
        <v>1.48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M139" t="n">
        <v>1</v>
      </c>
    </row>
    <row r="140">
      <c r="A140" t="inlineStr">
        <is>
          <t>EL VIEJO LUIS</t>
        </is>
      </c>
      <c r="B140" t="n">
        <v>123.88</v>
      </c>
      <c r="C140" t="n">
        <v>0</v>
      </c>
      <c r="D140" t="n">
        <v>44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M140" t="n">
        <v>1</v>
      </c>
    </row>
    <row r="141">
      <c r="A141" t="inlineStr">
        <is>
          <t>ENJOY</t>
        </is>
      </c>
      <c r="B141" t="n">
        <v>30508.88</v>
      </c>
      <c r="C141" t="n">
        <v>0</v>
      </c>
      <c r="D141" t="n">
        <v>3834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M141" t="n">
        <v>1</v>
      </c>
    </row>
    <row r="142">
      <c r="A142" t="inlineStr">
        <is>
          <t>ESCAL</t>
        </is>
      </c>
      <c r="B142" t="n">
        <v>61.96</v>
      </c>
      <c r="C142" t="n">
        <v>0</v>
      </c>
      <c r="D142" t="n">
        <v>4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M142" t="n">
        <v>1</v>
      </c>
    </row>
    <row r="143">
      <c r="A143" t="inlineStr">
        <is>
          <t>EVA</t>
        </is>
      </c>
      <c r="B143" t="n">
        <v>435.51</v>
      </c>
      <c r="C143" t="n">
        <v>0</v>
      </c>
      <c r="D143" t="n">
        <v>153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M143" t="n">
        <v>1</v>
      </c>
    </row>
    <row r="144">
      <c r="A144" t="inlineStr">
        <is>
          <t>EVEBA</t>
        </is>
      </c>
      <c r="B144" t="n">
        <v>152.72</v>
      </c>
      <c r="C144" t="n">
        <v>0</v>
      </c>
      <c r="D144" t="n">
        <v>46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M144" t="n">
        <v>1</v>
      </c>
    </row>
    <row r="145">
      <c r="A145" t="inlineStr">
        <is>
          <t>FARMHOUSE</t>
        </is>
      </c>
      <c r="B145" t="n">
        <v>-2.24</v>
      </c>
      <c r="C145" t="n">
        <v>0</v>
      </c>
      <c r="D145" t="n">
        <v>-2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M145" t="n">
        <v>1</v>
      </c>
    </row>
    <row r="146">
      <c r="A146" t="inlineStr">
        <is>
          <t>FILLO'S</t>
        </is>
      </c>
      <c r="B146" t="n">
        <v>1426497.91</v>
      </c>
      <c r="C146" t="n">
        <v>40000.86985531102</v>
      </c>
      <c r="D146" t="n">
        <v>699713</v>
      </c>
      <c r="E146" t="n">
        <v>0</v>
      </c>
      <c r="F146" t="n">
        <v>0</v>
      </c>
      <c r="G146" t="n">
        <v>0</v>
      </c>
      <c r="H146" t="n">
        <v>0</v>
      </c>
      <c r="I146" t="n">
        <v>0.2</v>
      </c>
      <c r="M146" t="n">
        <v>0</v>
      </c>
    </row>
    <row r="147">
      <c r="A147" t="inlineStr">
        <is>
          <t>FINOLA</t>
        </is>
      </c>
      <c r="B147" t="n">
        <v>19921.05</v>
      </c>
      <c r="C147" t="n">
        <v>0</v>
      </c>
      <c r="D147" t="n">
        <v>12272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M147" t="n">
        <v>1</v>
      </c>
    </row>
    <row r="148">
      <c r="A148" t="inlineStr">
        <is>
          <t>FIORELLA'S JACK STACK BARBECUE</t>
        </is>
      </c>
      <c r="B148" t="n">
        <v>104331.92</v>
      </c>
      <c r="C148" t="n">
        <v>1428.630009888</v>
      </c>
      <c r="D148" t="n">
        <v>13922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M148" t="n">
        <v>0</v>
      </c>
    </row>
    <row r="149">
      <c r="A149" t="inlineStr">
        <is>
          <t>FISH</t>
        </is>
      </c>
      <c r="B149" t="n">
        <v>26.52</v>
      </c>
      <c r="C149" t="n">
        <v>0</v>
      </c>
      <c r="D149" t="n">
        <v>3.02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M149" t="n">
        <v>1</v>
      </c>
    </row>
    <row r="150">
      <c r="A150" t="inlineStr">
        <is>
          <t>FLUKER'S</t>
        </is>
      </c>
      <c r="B150" t="n">
        <v>1264.15</v>
      </c>
      <c r="C150" t="n">
        <v>0</v>
      </c>
      <c r="D150" t="n">
        <v>291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M150" t="n">
        <v>1</v>
      </c>
    </row>
    <row r="151">
      <c r="A151" t="inlineStr">
        <is>
          <t>FOOD MERCHANT</t>
        </is>
      </c>
      <c r="B151" t="n">
        <v>51.32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M151" t="n">
        <v>1</v>
      </c>
    </row>
    <row r="152">
      <c r="A152" t="inlineStr">
        <is>
          <t>FOOD NETWORK</t>
        </is>
      </c>
      <c r="B152" t="n">
        <v>1.26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M152" t="n">
        <v>1</v>
      </c>
    </row>
    <row r="153">
      <c r="A153" t="inlineStr">
        <is>
          <t>FOOD NETWORK KITCHEN INSPIRATIONS</t>
        </is>
      </c>
      <c r="B153" t="n">
        <v>4.03</v>
      </c>
      <c r="C153" t="n">
        <v>0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M153" t="n">
        <v>1</v>
      </c>
    </row>
    <row r="154">
      <c r="A154" t="inlineStr">
        <is>
          <t>FORUNEED</t>
        </is>
      </c>
      <c r="B154" t="n">
        <v>0</v>
      </c>
      <c r="C154" t="n">
        <v>25.664444566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M154" t="n">
        <v>1</v>
      </c>
    </row>
    <row r="155">
      <c r="A155" t="inlineStr">
        <is>
          <t>FOSTER FARMS</t>
        </is>
      </c>
      <c r="B155" t="n">
        <v>2112170.31</v>
      </c>
      <c r="C155" t="n">
        <v>0</v>
      </c>
      <c r="D155" t="n">
        <v>458220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M155" t="n">
        <v>1</v>
      </c>
    </row>
    <row r="156">
      <c r="A156" t="inlineStr">
        <is>
          <t>FRENCH'S</t>
        </is>
      </c>
      <c r="B156" t="n">
        <v>6.5</v>
      </c>
      <c r="C156" t="n">
        <v>0</v>
      </c>
      <c r="D156" t="n">
        <v>7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M156" t="n">
        <v>1</v>
      </c>
    </row>
    <row r="157">
      <c r="A157" t="inlineStr">
        <is>
          <t>FRESHE</t>
        </is>
      </c>
      <c r="B157" t="n">
        <v>641570.53</v>
      </c>
      <c r="C157" t="n">
        <v>31784.160429792</v>
      </c>
      <c r="D157" t="n">
        <v>176491</v>
      </c>
      <c r="E157" t="n">
        <v>0</v>
      </c>
      <c r="F157" t="n">
        <v>0</v>
      </c>
      <c r="G157" t="n">
        <v>0</v>
      </c>
      <c r="H157" t="n">
        <v>0</v>
      </c>
      <c r="I157" t="n">
        <v>0.2</v>
      </c>
      <c r="M157" t="n">
        <v>0</v>
      </c>
    </row>
    <row r="158">
      <c r="A158" t="inlineStr">
        <is>
          <t>FRESHNESS GUARANTEED</t>
        </is>
      </c>
      <c r="B158" t="n">
        <v>46564.58</v>
      </c>
      <c r="C158" t="n">
        <v>0</v>
      </c>
      <c r="D158" t="n">
        <v>8606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M158" t="n">
        <v>1</v>
      </c>
    </row>
    <row r="159">
      <c r="A159" t="inlineStr">
        <is>
          <t>FRUITIQUE</t>
        </is>
      </c>
      <c r="B159" t="n">
        <v>87015.2</v>
      </c>
      <c r="C159" t="n">
        <v>0</v>
      </c>
      <c r="D159" t="n">
        <v>51186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M159" t="n">
        <v>1</v>
      </c>
    </row>
    <row r="160">
      <c r="A160" t="inlineStr">
        <is>
          <t>GALIL</t>
        </is>
      </c>
      <c r="B160" t="n">
        <v>12.7</v>
      </c>
      <c r="C160" t="n">
        <v>0</v>
      </c>
      <c r="D160" t="n">
        <v>5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M160" t="n">
        <v>1</v>
      </c>
    </row>
    <row r="161">
      <c r="A161" t="inlineStr">
        <is>
          <t>GARDEIN</t>
        </is>
      </c>
      <c r="B161" t="n">
        <v>196380.230000003</v>
      </c>
      <c r="C161" t="n">
        <v>0</v>
      </c>
      <c r="D161" t="n">
        <v>68317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M161" t="n">
        <v>1</v>
      </c>
    </row>
    <row r="162">
      <c r="A162" t="inlineStr">
        <is>
          <t>GAUCHO RANCH</t>
        </is>
      </c>
      <c r="B162" t="n">
        <v>308.76</v>
      </c>
      <c r="C162" t="n">
        <v>0</v>
      </c>
      <c r="D162" t="n">
        <v>62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M162" t="n">
        <v>1</v>
      </c>
    </row>
    <row r="163">
      <c r="A163" t="inlineStr">
        <is>
          <t>GEISHA</t>
        </is>
      </c>
      <c r="B163" t="n">
        <v>18532524.325</v>
      </c>
      <c r="C163" t="n">
        <v>0</v>
      </c>
      <c r="D163" t="n">
        <v>7525989</v>
      </c>
      <c r="E163" t="n">
        <v>1</v>
      </c>
      <c r="F163" t="n">
        <v>0</v>
      </c>
      <c r="G163" t="n">
        <v>0.4</v>
      </c>
      <c r="H163" t="n">
        <v>0.3</v>
      </c>
      <c r="I163" t="n">
        <v>0</v>
      </c>
      <c r="M163" t="n">
        <v>1</v>
      </c>
    </row>
    <row r="164">
      <c r="A164" t="inlineStr">
        <is>
          <t>GENERIC</t>
        </is>
      </c>
      <c r="B164" t="n">
        <v>4315745.85</v>
      </c>
      <c r="C164" t="n">
        <v>0</v>
      </c>
      <c r="D164" t="n">
        <v>2245683</v>
      </c>
      <c r="E164" t="n">
        <v>1</v>
      </c>
      <c r="F164" t="n">
        <v>0</v>
      </c>
      <c r="G164" t="n">
        <v>0.1</v>
      </c>
      <c r="H164" t="n">
        <v>0.1</v>
      </c>
      <c r="I164" t="n">
        <v>0</v>
      </c>
      <c r="K164" t="n">
        <v>1</v>
      </c>
      <c r="M164" t="n">
        <v>1</v>
      </c>
    </row>
    <row r="165">
      <c r="A165" t="inlineStr">
        <is>
          <t>GENOVA</t>
        </is>
      </c>
      <c r="B165" t="n">
        <v>20013143.56775</v>
      </c>
      <c r="C165" t="n">
        <v>88536.56019711701</v>
      </c>
      <c r="D165" t="n">
        <v>7058399</v>
      </c>
      <c r="E165" t="n">
        <v>0</v>
      </c>
      <c r="F165" t="n">
        <v>0</v>
      </c>
      <c r="G165" t="n">
        <v>0.4</v>
      </c>
      <c r="H165" t="n">
        <v>0.3</v>
      </c>
      <c r="I165" t="n">
        <v>0.5</v>
      </c>
      <c r="M165" t="n">
        <v>0</v>
      </c>
    </row>
    <row r="166">
      <c r="A166" t="inlineStr">
        <is>
          <t>GENOVA PRODUCTS</t>
        </is>
      </c>
      <c r="B166" t="n">
        <v>0</v>
      </c>
      <c r="C166" t="n">
        <v>84493.639847937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0.5</v>
      </c>
      <c r="M166" t="n">
        <v>1</v>
      </c>
    </row>
    <row r="167">
      <c r="A167" t="inlineStr">
        <is>
          <t>GIA RUSSA</t>
        </is>
      </c>
      <c r="B167" t="n">
        <v>43721.02</v>
      </c>
      <c r="C167" t="n">
        <v>0</v>
      </c>
      <c r="D167" t="n">
        <v>1264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M167" t="n">
        <v>1</v>
      </c>
    </row>
    <row r="168">
      <c r="A168" t="inlineStr">
        <is>
          <t>GIOVANNI</t>
        </is>
      </c>
      <c r="B168" t="n">
        <v>34096.9</v>
      </c>
      <c r="C168" t="n">
        <v>0</v>
      </c>
      <c r="D168" t="n">
        <v>15907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M168" t="n">
        <v>1</v>
      </c>
    </row>
    <row r="169">
      <c r="A169" t="inlineStr">
        <is>
          <t>GIOVANNI FOODS</t>
        </is>
      </c>
      <c r="B169" t="n">
        <v>324635.29</v>
      </c>
      <c r="C169" t="n">
        <v>0</v>
      </c>
      <c r="D169" t="n">
        <v>153465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M169" t="n">
        <v>1</v>
      </c>
    </row>
    <row r="170">
      <c r="A170" t="inlineStr">
        <is>
          <t>GIOVANNI RANA</t>
        </is>
      </c>
      <c r="B170" t="n">
        <v>0</v>
      </c>
      <c r="C170" t="n">
        <v>2782.802091939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M170" t="n">
        <v>1</v>
      </c>
    </row>
    <row r="171">
      <c r="A171" t="inlineStr">
        <is>
          <t>GOLD STAR CHILI</t>
        </is>
      </c>
      <c r="B171" t="n">
        <v>1446759.38</v>
      </c>
      <c r="C171" t="n">
        <v>0</v>
      </c>
      <c r="D171" t="n">
        <v>316299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M171" t="n">
        <v>1</v>
      </c>
    </row>
    <row r="172">
      <c r="A172" t="inlineStr">
        <is>
          <t>GOODLES</t>
        </is>
      </c>
      <c r="B172" t="n">
        <v>7576044.800000001</v>
      </c>
      <c r="C172" t="n">
        <v>72659.11042086</v>
      </c>
      <c r="D172" t="n">
        <v>2461656</v>
      </c>
      <c r="E172" t="n">
        <v>0</v>
      </c>
      <c r="F172" t="n">
        <v>0</v>
      </c>
      <c r="G172" t="n">
        <v>0.1</v>
      </c>
      <c r="H172" t="n">
        <v>0.1</v>
      </c>
      <c r="I172" t="n">
        <v>0.4</v>
      </c>
      <c r="M172" t="n">
        <v>0</v>
      </c>
    </row>
    <row r="173">
      <c r="A173" t="inlineStr">
        <is>
          <t>GOYA</t>
        </is>
      </c>
      <c r="B173" t="n">
        <v>2165328.1</v>
      </c>
      <c r="C173" t="n">
        <v>176.579999784</v>
      </c>
      <c r="D173" t="n">
        <v>983317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M173" t="n">
        <v>0</v>
      </c>
    </row>
    <row r="174">
      <c r="A174" t="inlineStr">
        <is>
          <t>GRABILL COUNTRY MEATS</t>
        </is>
      </c>
      <c r="B174" t="n">
        <v>4448164.69</v>
      </c>
      <c r="C174" t="n">
        <v>0</v>
      </c>
      <c r="D174" t="n">
        <v>484446</v>
      </c>
      <c r="E174" t="n">
        <v>1</v>
      </c>
      <c r="F174" t="n">
        <v>0</v>
      </c>
      <c r="G174" t="n">
        <v>0.1</v>
      </c>
      <c r="H174" t="n">
        <v>0</v>
      </c>
      <c r="I174" t="n">
        <v>0</v>
      </c>
      <c r="M174" t="n">
        <v>1</v>
      </c>
    </row>
    <row r="175">
      <c r="A175" t="inlineStr">
        <is>
          <t>GRACE</t>
        </is>
      </c>
      <c r="B175" t="n">
        <v>109387.19</v>
      </c>
      <c r="C175" t="n">
        <v>327.599998586</v>
      </c>
      <c r="D175" t="n">
        <v>78623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L175" t="n">
        <v>1</v>
      </c>
      <c r="M175" t="n">
        <v>0</v>
      </c>
    </row>
    <row r="176">
      <c r="A176" t="inlineStr">
        <is>
          <t>GRACE FOODS</t>
        </is>
      </c>
      <c r="B176" t="n">
        <v>74870.95</v>
      </c>
      <c r="C176" t="n">
        <v>0.7599999909999999</v>
      </c>
      <c r="D176" t="n">
        <v>26479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L176" t="n">
        <v>1</v>
      </c>
      <c r="M176" t="n">
        <v>0</v>
      </c>
    </row>
    <row r="177">
      <c r="A177" t="inlineStr">
        <is>
          <t>GRACE'S HOMESTYLE</t>
        </is>
      </c>
      <c r="B177" t="n">
        <v>22626.42</v>
      </c>
      <c r="C177" t="n">
        <v>0</v>
      </c>
      <c r="D177" t="n">
        <v>14570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M177" t="n">
        <v>1</v>
      </c>
    </row>
    <row r="178">
      <c r="A178" t="inlineStr">
        <is>
          <t>GREAT VALUE</t>
        </is>
      </c>
      <c r="B178" t="n">
        <v>1321285901.279643</v>
      </c>
      <c r="C178" t="n">
        <v>11898.187124233</v>
      </c>
      <c r="D178" t="n">
        <v>652732513.8</v>
      </c>
      <c r="E178" t="n">
        <v>1</v>
      </c>
      <c r="F178" t="n">
        <v>0</v>
      </c>
      <c r="G178" t="n">
        <v>25.2</v>
      </c>
      <c r="H178" t="n">
        <v>28.4</v>
      </c>
      <c r="I178" t="n">
        <v>0.1</v>
      </c>
      <c r="J178" t="n">
        <v>1</v>
      </c>
      <c r="M178" t="n">
        <v>1</v>
      </c>
    </row>
    <row r="179">
      <c r="A179" t="inlineStr">
        <is>
          <t>GREEN GIANT</t>
        </is>
      </c>
      <c r="B179" t="n">
        <v>17792.34</v>
      </c>
      <c r="C179" t="n">
        <v>0</v>
      </c>
      <c r="D179" t="n">
        <v>4194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M179" t="n">
        <v>1</v>
      </c>
    </row>
    <row r="180">
      <c r="A180" t="inlineStr">
        <is>
          <t>GREEN HEIGHTS</t>
        </is>
      </c>
      <c r="B180" t="n">
        <v>260.36</v>
      </c>
      <c r="C180" t="n">
        <v>0</v>
      </c>
      <c r="D180" t="n">
        <v>23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M180" t="n">
        <v>1</v>
      </c>
    </row>
    <row r="181">
      <c r="A181" t="inlineStr">
        <is>
          <t>GRILLED CATCH</t>
        </is>
      </c>
      <c r="B181" t="n">
        <v>2.96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M181" t="n">
        <v>1</v>
      </c>
    </row>
    <row r="182">
      <c r="A182" t="inlineStr">
        <is>
          <t>HALM'S ENTERPRISES</t>
        </is>
      </c>
      <c r="B182" t="n">
        <v>392.7</v>
      </c>
      <c r="C182" t="n">
        <v>0</v>
      </c>
      <c r="D182" t="n">
        <v>105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M182" t="n">
        <v>1</v>
      </c>
    </row>
    <row r="183">
      <c r="A183" t="inlineStr">
        <is>
          <t>HEAD COUNTRY BAR-B-Q</t>
        </is>
      </c>
      <c r="B183" t="n">
        <v>29233.73</v>
      </c>
      <c r="C183" t="n">
        <v>0</v>
      </c>
      <c r="D183" t="n">
        <v>8584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M183" t="n">
        <v>1</v>
      </c>
    </row>
    <row r="184">
      <c r="A184" t="inlineStr">
        <is>
          <t>HENRY &amp; LISA'S NATURAL SEAFOOD</t>
        </is>
      </c>
      <c r="B184" t="n">
        <v>1476</v>
      </c>
      <c r="C184" t="n">
        <v>0</v>
      </c>
      <c r="D184" t="n">
        <v>22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M184" t="n">
        <v>1</v>
      </c>
    </row>
    <row r="185">
      <c r="A185" t="inlineStr">
        <is>
          <t>HEREFORD</t>
        </is>
      </c>
      <c r="B185" t="n">
        <v>9409156.635</v>
      </c>
      <c r="C185" t="n">
        <v>298529.463183409</v>
      </c>
      <c r="D185" t="n">
        <v>2244071</v>
      </c>
      <c r="E185" t="n">
        <v>0</v>
      </c>
      <c r="F185" t="n">
        <v>0</v>
      </c>
      <c r="G185" t="n">
        <v>0.2</v>
      </c>
      <c r="H185" t="n">
        <v>0.1</v>
      </c>
      <c r="I185" t="n">
        <v>1.6</v>
      </c>
      <c r="M185" t="n">
        <v>0</v>
      </c>
    </row>
    <row r="186">
      <c r="A186" t="inlineStr">
        <is>
          <t>HERON POINT</t>
        </is>
      </c>
      <c r="B186" t="n">
        <v>-9.449999999999999</v>
      </c>
      <c r="C186" t="n">
        <v>0</v>
      </c>
      <c r="D186" t="n">
        <v>-1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M186" t="n">
        <v>1</v>
      </c>
    </row>
    <row r="187">
      <c r="A187" t="inlineStr">
        <is>
          <t>HI JADE</t>
        </is>
      </c>
      <c r="B187" t="n">
        <v>135944.18</v>
      </c>
      <c r="C187" t="n">
        <v>0</v>
      </c>
      <c r="D187" t="n">
        <v>27309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M187" t="n">
        <v>1</v>
      </c>
    </row>
    <row r="188">
      <c r="A188" t="inlineStr">
        <is>
          <t>HIDDEN VALLEY</t>
        </is>
      </c>
      <c r="B188" t="n">
        <v>0</v>
      </c>
      <c r="C188" t="n">
        <v>9219.500245759999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M188" t="n">
        <v>1</v>
      </c>
    </row>
    <row r="189">
      <c r="A189" t="inlineStr">
        <is>
          <t>HONEY BOY</t>
        </is>
      </c>
      <c r="B189" t="n">
        <v>8412150.507500008</v>
      </c>
      <c r="C189" t="n">
        <v>0</v>
      </c>
      <c r="D189" t="n">
        <v>2245640</v>
      </c>
      <c r="E189" t="n">
        <v>1</v>
      </c>
      <c r="F189" t="n">
        <v>0</v>
      </c>
      <c r="G189" t="n">
        <v>0.2</v>
      </c>
      <c r="H189" t="n">
        <v>0.1</v>
      </c>
      <c r="I189" t="n">
        <v>0</v>
      </c>
      <c r="M189" t="n">
        <v>1</v>
      </c>
    </row>
    <row r="190">
      <c r="A190" t="inlineStr">
        <is>
          <t>HONEY SMOKED FISH</t>
        </is>
      </c>
      <c r="B190" t="n">
        <v>741103.0800000001</v>
      </c>
      <c r="C190" t="n">
        <v>1594.399996049</v>
      </c>
      <c r="D190" t="n">
        <v>156240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M190" t="n">
        <v>0</v>
      </c>
    </row>
    <row r="191">
      <c r="A191" t="inlineStr">
        <is>
          <t>HORIZON ORGANIC</t>
        </is>
      </c>
      <c r="B191" t="n">
        <v>94.94999999999999</v>
      </c>
      <c r="C191" t="n">
        <v>125.539352787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M191" t="n">
        <v>0</v>
      </c>
    </row>
    <row r="192">
      <c r="A192" t="inlineStr">
        <is>
          <t>HORMEL</t>
        </is>
      </c>
      <c r="B192" t="n">
        <v>356793251.5136666</v>
      </c>
      <c r="C192" t="n">
        <v>3506504.770325472</v>
      </c>
      <c r="D192" t="n">
        <v>131138993.79</v>
      </c>
      <c r="E192" t="n">
        <v>0</v>
      </c>
      <c r="F192" t="n">
        <v>0</v>
      </c>
      <c r="G192" t="n">
        <v>6.8</v>
      </c>
      <c r="H192" t="n">
        <v>5.7</v>
      </c>
      <c r="I192" t="n">
        <v>19</v>
      </c>
      <c r="M192" t="n">
        <v>0</v>
      </c>
    </row>
    <row r="193">
      <c r="A193" t="inlineStr">
        <is>
          <t>HORMELCHILI</t>
        </is>
      </c>
      <c r="B193" t="n">
        <v>0</v>
      </c>
      <c r="C193" t="n">
        <v>15.720000025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M193" t="n">
        <v>1</v>
      </c>
    </row>
    <row r="194">
      <c r="A194" t="inlineStr">
        <is>
          <t>HYPERMART</t>
        </is>
      </c>
      <c r="B194" t="n">
        <v>247126.77</v>
      </c>
      <c r="C194" t="n">
        <v>0</v>
      </c>
      <c r="D194" t="n">
        <v>34909.95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M194" t="n">
        <v>1</v>
      </c>
    </row>
    <row r="195">
      <c r="A195" t="inlineStr">
        <is>
          <t>IBERIA</t>
        </is>
      </c>
      <c r="B195" t="n">
        <v>2908474.18</v>
      </c>
      <c r="C195" t="n">
        <v>0</v>
      </c>
      <c r="D195" t="n">
        <v>1398473</v>
      </c>
      <c r="E195" t="n">
        <v>1</v>
      </c>
      <c r="F195" t="n">
        <v>0</v>
      </c>
      <c r="G195" t="n">
        <v>0.1</v>
      </c>
      <c r="H195" t="n">
        <v>0.1</v>
      </c>
      <c r="I195" t="n">
        <v>0</v>
      </c>
      <c r="M195" t="n">
        <v>1</v>
      </c>
    </row>
    <row r="196">
      <c r="A196" t="inlineStr">
        <is>
          <t>ICY POINT</t>
        </is>
      </c>
      <c r="B196" t="n">
        <v>5.32</v>
      </c>
      <c r="C196" t="n">
        <v>0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M196" t="n">
        <v>1</v>
      </c>
    </row>
    <row r="197">
      <c r="A197" t="inlineStr">
        <is>
          <t>IDAHOAN</t>
        </is>
      </c>
      <c r="B197" t="n">
        <v>105.06</v>
      </c>
      <c r="C197" t="n">
        <v>0</v>
      </c>
      <c r="D197" t="n">
        <v>83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M197" t="n">
        <v>1</v>
      </c>
    </row>
    <row r="198">
      <c r="A198" t="inlineStr">
        <is>
          <t>INA</t>
        </is>
      </c>
      <c r="B198" t="n">
        <v>354.97</v>
      </c>
      <c r="C198" t="n">
        <v>0</v>
      </c>
      <c r="D198" t="n">
        <v>16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M198" t="n">
        <v>1</v>
      </c>
    </row>
    <row r="199">
      <c r="A199" t="inlineStr">
        <is>
          <t>INABA</t>
        </is>
      </c>
      <c r="B199" t="n">
        <v>30675.66</v>
      </c>
      <c r="C199" t="n">
        <v>4650.514716017999</v>
      </c>
      <c r="D199" t="n">
        <v>959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M199" t="n">
        <v>0</v>
      </c>
    </row>
    <row r="200">
      <c r="A200" t="inlineStr">
        <is>
          <t>INDOMIE</t>
        </is>
      </c>
      <c r="B200" t="n">
        <v>177.6</v>
      </c>
      <c r="C200" t="n">
        <v>0</v>
      </c>
      <c r="D200" t="n">
        <v>96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M200" t="n">
        <v>1</v>
      </c>
    </row>
    <row r="201">
      <c r="A201" t="inlineStr">
        <is>
          <t>ISADORA</t>
        </is>
      </c>
      <c r="B201" t="n">
        <v>154715.36</v>
      </c>
      <c r="C201" t="n">
        <v>966.3900009839999</v>
      </c>
      <c r="D201" t="n">
        <v>29079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M201" t="n">
        <v>0</v>
      </c>
    </row>
    <row r="202">
      <c r="A202" t="inlineStr">
        <is>
          <t>ITALY BRAND AMERICAN</t>
        </is>
      </c>
      <c r="B202" t="n">
        <v>13222.1</v>
      </c>
      <c r="C202" t="n">
        <v>0</v>
      </c>
      <c r="D202" t="n">
        <v>4793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M202" t="n">
        <v>1</v>
      </c>
    </row>
    <row r="203">
      <c r="A203" t="inlineStr">
        <is>
          <t>JACK LINK'S</t>
        </is>
      </c>
      <c r="B203" t="n">
        <v>9290740.26</v>
      </c>
      <c r="C203" t="n">
        <v>96326.52549628701</v>
      </c>
      <c r="D203" t="n">
        <v>2579924</v>
      </c>
      <c r="E203" t="n">
        <v>0</v>
      </c>
      <c r="F203" t="n">
        <v>0</v>
      </c>
      <c r="G203" t="n">
        <v>0.2</v>
      </c>
      <c r="H203" t="n">
        <v>0.1</v>
      </c>
      <c r="I203" t="n">
        <v>0.5</v>
      </c>
      <c r="M203" t="n">
        <v>0</v>
      </c>
    </row>
    <row r="204">
      <c r="A204" t="inlineStr">
        <is>
          <t>JADE FOOD PRODUCTS</t>
        </is>
      </c>
      <c r="B204" t="n">
        <v>81656.32000000001</v>
      </c>
      <c r="C204" t="n">
        <v>0</v>
      </c>
      <c r="D204" t="n">
        <v>16764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M204" t="n">
        <v>1</v>
      </c>
    </row>
    <row r="205">
      <c r="A205" t="inlineStr">
        <is>
          <t>JADRANKA</t>
        </is>
      </c>
      <c r="B205" t="n">
        <v>250.58</v>
      </c>
      <c r="C205" t="n">
        <v>0</v>
      </c>
      <c r="D205" t="n">
        <v>134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M205" t="n">
        <v>1</v>
      </c>
    </row>
    <row r="206">
      <c r="A206" t="inlineStr">
        <is>
          <t>JAMAICAN COUNTRY STYLE</t>
        </is>
      </c>
      <c r="B206" t="n">
        <v>181597.2</v>
      </c>
      <c r="C206" t="n">
        <v>0</v>
      </c>
      <c r="D206" t="n">
        <v>38153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M206" t="n">
        <v>1</v>
      </c>
    </row>
    <row r="207">
      <c r="A207" t="inlineStr">
        <is>
          <t>JAMBALAYA GIRL</t>
        </is>
      </c>
      <c r="B207" t="n">
        <v>0</v>
      </c>
      <c r="C207" t="n">
        <v>139.229999138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M207" t="n">
        <v>1</v>
      </c>
    </row>
    <row r="208">
      <c r="A208" t="inlineStr">
        <is>
          <t>JIMMY DEAN</t>
        </is>
      </c>
      <c r="B208" t="n">
        <v>0</v>
      </c>
      <c r="C208" t="n">
        <v>9194.926725345002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M208" t="n">
        <v>1</v>
      </c>
    </row>
    <row r="209">
      <c r="A209" t="inlineStr">
        <is>
          <t>JOS OL</t>
        </is>
      </c>
      <c r="B209" t="n">
        <v>0</v>
      </c>
      <c r="C209" t="n">
        <v>23130.266155799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0.1</v>
      </c>
      <c r="M209" t="n">
        <v>1</v>
      </c>
    </row>
    <row r="210">
      <c r="A210" t="inlineStr">
        <is>
          <t>JOVIAL</t>
        </is>
      </c>
      <c r="B210" t="n">
        <v>238571.569999999</v>
      </c>
      <c r="C210" t="n">
        <v>6079.179986672</v>
      </c>
      <c r="D210" t="n">
        <v>60392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M210" t="n">
        <v>0</v>
      </c>
    </row>
    <row r="211">
      <c r="A211" t="inlineStr">
        <is>
          <t>JUST CRACK AN EGG</t>
        </is>
      </c>
      <c r="B211" t="n">
        <v>22.94</v>
      </c>
      <c r="C211" t="n">
        <v>0</v>
      </c>
      <c r="D211" t="n">
        <v>10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M211" t="n">
        <v>1</v>
      </c>
    </row>
    <row r="212">
      <c r="A212" t="inlineStr">
        <is>
          <t>KA-ME</t>
        </is>
      </c>
      <c r="B212" t="n">
        <v>0</v>
      </c>
      <c r="C212" t="n">
        <v>256.6444456600001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M212" t="n">
        <v>1</v>
      </c>
    </row>
    <row r="213">
      <c r="A213" t="inlineStr">
        <is>
          <t>KAJUN KICK</t>
        </is>
      </c>
      <c r="B213" t="n">
        <v>70.16</v>
      </c>
      <c r="C213" t="n">
        <v>0</v>
      </c>
      <c r="D213" t="n">
        <v>8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M213" t="n">
        <v>1</v>
      </c>
    </row>
    <row r="214">
      <c r="A214" t="inlineStr">
        <is>
          <t>KASIA'S</t>
        </is>
      </c>
      <c r="B214" t="n">
        <v>28137.95</v>
      </c>
      <c r="C214" t="n">
        <v>0</v>
      </c>
      <c r="D214" t="n">
        <v>6839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M214" t="n">
        <v>1</v>
      </c>
    </row>
    <row r="215">
      <c r="A215" t="inlineStr">
        <is>
          <t>KEDEM</t>
        </is>
      </c>
      <c r="B215" t="n">
        <v>2345.74</v>
      </c>
      <c r="C215" t="n">
        <v>0</v>
      </c>
      <c r="D215" t="n">
        <v>446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M215" t="n">
        <v>1</v>
      </c>
    </row>
    <row r="216">
      <c r="A216" t="inlineStr">
        <is>
          <t>KELLY'S</t>
        </is>
      </c>
      <c r="B216" t="n">
        <v>84729.47</v>
      </c>
      <c r="C216" t="n">
        <v>0</v>
      </c>
      <c r="D216" t="n">
        <v>33505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M216" t="n">
        <v>1</v>
      </c>
    </row>
    <row r="217">
      <c r="A217" t="inlineStr">
        <is>
          <t>KETTLE &amp; FIRE</t>
        </is>
      </c>
      <c r="B217" t="n">
        <v>0</v>
      </c>
      <c r="C217" t="n">
        <v>140.419558547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M217" t="n">
        <v>1</v>
      </c>
    </row>
    <row r="218">
      <c r="A218" t="inlineStr">
        <is>
          <t>KEVIN'S NATURAL FOODS</t>
        </is>
      </c>
      <c r="B218" t="n">
        <v>29.01</v>
      </c>
      <c r="C218" t="n">
        <v>0</v>
      </c>
      <c r="D218" t="n">
        <v>3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M218" t="n">
        <v>1</v>
      </c>
    </row>
    <row r="219">
      <c r="A219" t="inlineStr">
        <is>
          <t>KEYSTONE</t>
        </is>
      </c>
      <c r="B219" t="n">
        <v>23631519.42000001</v>
      </c>
      <c r="C219" t="n">
        <v>38117.69001245699</v>
      </c>
      <c r="D219" t="n">
        <v>3191195</v>
      </c>
      <c r="E219" t="n">
        <v>0</v>
      </c>
      <c r="F219" t="n">
        <v>0</v>
      </c>
      <c r="G219" t="n">
        <v>0.5</v>
      </c>
      <c r="H219" t="n">
        <v>0.1</v>
      </c>
      <c r="I219" t="n">
        <v>0.2</v>
      </c>
      <c r="M219" t="n">
        <v>0</v>
      </c>
    </row>
    <row r="220">
      <c r="A220" t="inlineStr">
        <is>
          <t>KEYSTONE BEEF</t>
        </is>
      </c>
      <c r="B220" t="n">
        <v>18141306.51</v>
      </c>
      <c r="C220" t="n">
        <v>38145.73999210601</v>
      </c>
      <c r="D220" t="n">
        <v>1874716</v>
      </c>
      <c r="E220" t="n">
        <v>0</v>
      </c>
      <c r="F220" t="n">
        <v>0</v>
      </c>
      <c r="G220" t="n">
        <v>0.3</v>
      </c>
      <c r="H220" t="n">
        <v>0.1</v>
      </c>
      <c r="I220" t="n">
        <v>0.2</v>
      </c>
      <c r="M220" t="n">
        <v>0</v>
      </c>
    </row>
    <row r="221">
      <c r="A221" t="inlineStr">
        <is>
          <t>KEYSTONE MEATS</t>
        </is>
      </c>
      <c r="B221" t="n">
        <v>998421.37</v>
      </c>
      <c r="C221" t="n">
        <v>5069.979996855001</v>
      </c>
      <c r="D221" t="n">
        <v>134941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M221" t="n">
        <v>0</v>
      </c>
    </row>
    <row r="222">
      <c r="A222" t="inlineStr">
        <is>
          <t>KIKKOMAN</t>
        </is>
      </c>
      <c r="B222" t="n">
        <v>742.22</v>
      </c>
      <c r="C222" t="n">
        <v>109.030170745</v>
      </c>
      <c r="D222" t="n">
        <v>579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M222" t="n">
        <v>0</v>
      </c>
    </row>
    <row r="223">
      <c r="A223" t="inlineStr">
        <is>
          <t>KIKUET</t>
        </is>
      </c>
      <c r="B223" t="n">
        <v>77531.03</v>
      </c>
      <c r="C223" t="n">
        <v>0</v>
      </c>
      <c r="D223" t="n">
        <v>21338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M223" t="n">
        <v>1</v>
      </c>
    </row>
    <row r="224">
      <c r="A224" t="inlineStr">
        <is>
          <t>KING OSCAR</t>
        </is>
      </c>
      <c r="B224" t="n">
        <v>47432819.7505637</v>
      </c>
      <c r="C224" t="n">
        <v>399010.306561324</v>
      </c>
      <c r="D224" t="n">
        <v>16437229</v>
      </c>
      <c r="E224" t="n">
        <v>0</v>
      </c>
      <c r="F224" t="n">
        <v>0</v>
      </c>
      <c r="G224" t="n">
        <v>0.9</v>
      </c>
      <c r="H224" t="n">
        <v>0.7</v>
      </c>
      <c r="I224" t="n">
        <v>2.2</v>
      </c>
      <c r="M224" t="n">
        <v>0</v>
      </c>
    </row>
    <row r="225">
      <c r="A225" t="inlineStr">
        <is>
          <t>KIRBY AND HOLLOWAY</t>
        </is>
      </c>
      <c r="B225" t="n">
        <v>114314.49</v>
      </c>
      <c r="C225" t="n">
        <v>0</v>
      </c>
      <c r="D225" t="n">
        <v>22802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M225" t="n">
        <v>1</v>
      </c>
    </row>
    <row r="226">
      <c r="A226" t="inlineStr">
        <is>
          <t>KIRKLAND SIGNATURE</t>
        </is>
      </c>
      <c r="B226" t="n">
        <v>-44.27</v>
      </c>
      <c r="C226" t="n">
        <v>0</v>
      </c>
      <c r="D226" t="n">
        <v>-3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M226" t="n">
        <v>1</v>
      </c>
    </row>
    <row r="227">
      <c r="A227" t="inlineStr">
        <is>
          <t>KITCHEN &amp; LOVE</t>
        </is>
      </c>
      <c r="B227" t="n">
        <v>1430229.16</v>
      </c>
      <c r="C227" t="n">
        <v>0</v>
      </c>
      <c r="D227" t="n">
        <v>410797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M227" t="n">
        <v>1</v>
      </c>
    </row>
    <row r="228">
      <c r="A228" t="inlineStr">
        <is>
          <t>KNOTT'S FOODS</t>
        </is>
      </c>
      <c r="B228" t="n">
        <v>34746.25999999999</v>
      </c>
      <c r="C228" t="n">
        <v>0</v>
      </c>
      <c r="D228" t="n">
        <v>6121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M228" t="n">
        <v>1</v>
      </c>
    </row>
    <row r="229">
      <c r="A229" t="inlineStr">
        <is>
          <t>KOKUBO</t>
        </is>
      </c>
      <c r="B229" t="n">
        <v>7207.09</v>
      </c>
      <c r="C229" t="n">
        <v>0</v>
      </c>
      <c r="D229" t="n">
        <v>2058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M229" t="n">
        <v>1</v>
      </c>
    </row>
    <row r="230">
      <c r="A230" t="inlineStr">
        <is>
          <t>KRAFT</t>
        </is>
      </c>
      <c r="B230" t="n">
        <v>13.88</v>
      </c>
      <c r="C230" t="n">
        <v>0</v>
      </c>
      <c r="D230" t="n">
        <v>6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M230" t="n">
        <v>1</v>
      </c>
    </row>
    <row r="231">
      <c r="A231" t="inlineStr">
        <is>
          <t>KRAS</t>
        </is>
      </c>
      <c r="B231" t="n">
        <v>7261.88</v>
      </c>
      <c r="C231" t="n">
        <v>0</v>
      </c>
      <c r="D231" t="n">
        <v>2310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M231" t="n">
        <v>1</v>
      </c>
    </row>
    <row r="232">
      <c r="A232" t="inlineStr">
        <is>
          <t>KRAS DELAMARIS</t>
        </is>
      </c>
      <c r="B232" t="n">
        <v>81.12</v>
      </c>
      <c r="C232" t="n">
        <v>0</v>
      </c>
      <c r="D232" t="n">
        <v>26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M232" t="n">
        <v>1</v>
      </c>
    </row>
    <row r="233">
      <c r="A233" t="inlineStr">
        <is>
          <t>KUSARI NOODLES</t>
        </is>
      </c>
      <c r="B233" t="n">
        <v>14.9</v>
      </c>
      <c r="C233" t="n">
        <v>0</v>
      </c>
      <c r="D233" t="n">
        <v>5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M233" t="n">
        <v>1</v>
      </c>
    </row>
    <row r="234">
      <c r="A234" t="inlineStr">
        <is>
          <t>LA BUENA PESCA</t>
        </is>
      </c>
      <c r="B234" t="n">
        <v>1321.29</v>
      </c>
      <c r="C234" t="n">
        <v>0</v>
      </c>
      <c r="D234" t="n">
        <v>105.9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M234" t="n">
        <v>1</v>
      </c>
    </row>
    <row r="235">
      <c r="A235" t="inlineStr">
        <is>
          <t>LA CENA</t>
        </is>
      </c>
      <c r="B235" t="n">
        <v>39218.62</v>
      </c>
      <c r="C235" t="n">
        <v>0</v>
      </c>
      <c r="D235" t="n">
        <v>19379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M235" t="n">
        <v>1</v>
      </c>
    </row>
    <row r="236">
      <c r="A236" t="inlineStr">
        <is>
          <t>LA CENA BAJAMAR</t>
        </is>
      </c>
      <c r="B236" t="n">
        <v>6677.38</v>
      </c>
      <c r="C236" t="n">
        <v>0</v>
      </c>
      <c r="D236" t="n">
        <v>3887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M236" t="n">
        <v>1</v>
      </c>
    </row>
    <row r="237">
      <c r="A237" t="inlineStr">
        <is>
          <t>LA CHOLITA</t>
        </is>
      </c>
      <c r="B237" t="n">
        <v>37977.17</v>
      </c>
      <c r="C237" t="n">
        <v>0</v>
      </c>
      <c r="D237" t="n">
        <v>9429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M237" t="n">
        <v>1</v>
      </c>
    </row>
    <row r="238">
      <c r="A238" t="inlineStr">
        <is>
          <t>LA FE</t>
        </is>
      </c>
      <c r="B238" t="n">
        <v>317317.56</v>
      </c>
      <c r="C238" t="n">
        <v>0</v>
      </c>
      <c r="D238" t="n">
        <v>163081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M238" t="n">
        <v>1</v>
      </c>
    </row>
    <row r="239">
      <c r="A239" t="inlineStr">
        <is>
          <t>LA GUADALUPANA</t>
        </is>
      </c>
      <c r="B239" t="n">
        <v>37675.71999999999</v>
      </c>
      <c r="C239" t="n">
        <v>0</v>
      </c>
      <c r="D239" t="n">
        <v>5780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M239" t="n">
        <v>1</v>
      </c>
    </row>
    <row r="240">
      <c r="A240" t="inlineStr">
        <is>
          <t>LA PREFERIDA</t>
        </is>
      </c>
      <c r="B240" t="n">
        <v>528520.34</v>
      </c>
      <c r="C240" t="n">
        <v>0</v>
      </c>
      <c r="D240" t="n">
        <v>281019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M240" t="n">
        <v>1</v>
      </c>
    </row>
    <row r="241">
      <c r="A241" t="inlineStr">
        <is>
          <t>LA SIRENA</t>
        </is>
      </c>
      <c r="B241" t="n">
        <v>186.12</v>
      </c>
      <c r="C241" t="n">
        <v>0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M241" t="n">
        <v>1</v>
      </c>
    </row>
    <row r="242">
      <c r="A242" t="inlineStr">
        <is>
          <t>LAS SEVILLANAS</t>
        </is>
      </c>
      <c r="B242" t="n">
        <v>27936.8</v>
      </c>
      <c r="C242" t="n">
        <v>0</v>
      </c>
      <c r="D242" t="n">
        <v>5680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M242" t="n">
        <v>1</v>
      </c>
    </row>
    <row r="243">
      <c r="A243" t="inlineStr">
        <is>
          <t>LAWRY'S</t>
        </is>
      </c>
      <c r="B243" t="n">
        <v>69200.67</v>
      </c>
      <c r="C243" t="n">
        <v>0</v>
      </c>
      <c r="D243" t="n">
        <v>9155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M243" t="n">
        <v>1</v>
      </c>
    </row>
    <row r="244">
      <c r="A244" t="inlineStr">
        <is>
          <t>LEB VLY</t>
        </is>
      </c>
      <c r="B244" t="n">
        <v>22.44</v>
      </c>
      <c r="C244" t="n">
        <v>0</v>
      </c>
      <c r="D244" t="n">
        <v>8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M244" t="n">
        <v>1</v>
      </c>
    </row>
    <row r="245">
      <c r="A245" t="inlineStr">
        <is>
          <t>LEBANON VALLEY</t>
        </is>
      </c>
      <c r="B245" t="n">
        <v>658.49</v>
      </c>
      <c r="C245" t="n">
        <v>0</v>
      </c>
      <c r="D245" t="n">
        <v>249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M245" t="n">
        <v>1</v>
      </c>
    </row>
    <row r="246">
      <c r="A246" t="inlineStr">
        <is>
          <t>LENTIFUL</t>
        </is>
      </c>
      <c r="B246" t="n">
        <v>25412.47</v>
      </c>
      <c r="C246" t="n">
        <v>1918.85000486</v>
      </c>
      <c r="D246" t="n">
        <v>7371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M246" t="n">
        <v>0</v>
      </c>
    </row>
    <row r="247">
      <c r="A247" t="inlineStr">
        <is>
          <t>LIBBY'S</t>
        </is>
      </c>
      <c r="B247" t="n">
        <v>113367693.27</v>
      </c>
      <c r="C247" t="n">
        <v>0</v>
      </c>
      <c r="D247" t="n">
        <v>70603258</v>
      </c>
      <c r="E247" t="n">
        <v>1</v>
      </c>
      <c r="F247" t="n">
        <v>0</v>
      </c>
      <c r="G247" t="n">
        <v>2.2</v>
      </c>
      <c r="H247" t="n">
        <v>3.1</v>
      </c>
      <c r="I247" t="n">
        <v>0</v>
      </c>
      <c r="M247" t="n">
        <v>1</v>
      </c>
    </row>
    <row r="248">
      <c r="A248" t="inlineStr">
        <is>
          <t>LIBERTY GOLD</t>
        </is>
      </c>
      <c r="B248" t="n">
        <v>180462.36</v>
      </c>
      <c r="C248" t="n">
        <v>0</v>
      </c>
      <c r="D248" t="n">
        <v>164651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M248" t="n">
        <v>1</v>
      </c>
    </row>
    <row r="249">
      <c r="A249" t="inlineStr">
        <is>
          <t>LIVEOCEAN SEAFOODS</t>
        </is>
      </c>
      <c r="B249" t="n">
        <v>206941.56</v>
      </c>
      <c r="C249" t="n">
        <v>7720.939895539002</v>
      </c>
      <c r="D249" t="n">
        <v>18860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M249" t="n">
        <v>0</v>
      </c>
    </row>
    <row r="250">
      <c r="A250" t="inlineStr">
        <is>
          <t>LOMA LINDA</t>
        </is>
      </c>
      <c r="B250" t="n">
        <v>151183.99</v>
      </c>
      <c r="C250" t="n">
        <v>0</v>
      </c>
      <c r="D250" t="n">
        <v>22418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M250" t="n">
        <v>1</v>
      </c>
    </row>
    <row r="251">
      <c r="A251" t="inlineStr">
        <is>
          <t>LORETTA</t>
        </is>
      </c>
      <c r="B251" t="n">
        <v>-1.98</v>
      </c>
      <c r="C251" t="n">
        <v>0</v>
      </c>
      <c r="D251" t="n">
        <v>-1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M251" t="n">
        <v>1</v>
      </c>
    </row>
    <row r="252">
      <c r="A252" t="inlineStr">
        <is>
          <t>LOTUS FOODS</t>
        </is>
      </c>
      <c r="B252" t="n">
        <v>9680.049999999999</v>
      </c>
      <c r="C252" t="n">
        <v>0</v>
      </c>
      <c r="D252" t="n">
        <v>4960.41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M252" t="n">
        <v>1</v>
      </c>
    </row>
    <row r="253">
      <c r="A253" t="inlineStr">
        <is>
          <t>LOUIS KEMP</t>
        </is>
      </c>
      <c r="B253" t="n">
        <v>0</v>
      </c>
      <c r="C253" t="n">
        <v>2678.260016193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M253" t="n">
        <v>1</v>
      </c>
    </row>
    <row r="254">
      <c r="A254" t="inlineStr">
        <is>
          <t>LOUISIANA FISH FRY PRODUCTS</t>
        </is>
      </c>
      <c r="B254" t="n">
        <v>8436.68</v>
      </c>
      <c r="C254" t="n">
        <v>0</v>
      </c>
      <c r="D254" t="n">
        <v>591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M254" t="n">
        <v>1</v>
      </c>
    </row>
    <row r="255">
      <c r="A255" t="inlineStr">
        <is>
          <t>LUCK'S</t>
        </is>
      </c>
      <c r="B255" t="n">
        <v>3.44</v>
      </c>
      <c r="C255" t="n">
        <v>0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M255" t="n">
        <v>1</v>
      </c>
    </row>
    <row r="256">
      <c r="A256" t="inlineStr">
        <is>
          <t>LUNDBERG FAMILY FARMS</t>
        </is>
      </c>
      <c r="B256" t="n">
        <v>784.9299999999999</v>
      </c>
      <c r="C256" t="n">
        <v>0</v>
      </c>
      <c r="D256" t="n">
        <v>36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M256" t="n">
        <v>1</v>
      </c>
    </row>
    <row r="257">
      <c r="A257" t="inlineStr">
        <is>
          <t>MAC A RONI</t>
        </is>
      </c>
      <c r="B257" t="n">
        <v>2583080.61</v>
      </c>
      <c r="C257" t="n">
        <v>148424.157464781</v>
      </c>
      <c r="D257" t="n">
        <v>2366738</v>
      </c>
      <c r="E257" t="n">
        <v>0</v>
      </c>
      <c r="F257" t="n">
        <v>0</v>
      </c>
      <c r="G257" t="n">
        <v>0</v>
      </c>
      <c r="H257" t="n">
        <v>0.1</v>
      </c>
      <c r="I257" t="n">
        <v>0.8</v>
      </c>
      <c r="M257" t="n">
        <v>0</v>
      </c>
    </row>
    <row r="258">
      <c r="A258" t="inlineStr">
        <is>
          <t>MADAM</t>
        </is>
      </c>
      <c r="B258" t="n">
        <v>16.02</v>
      </c>
      <c r="C258" t="n">
        <v>0</v>
      </c>
      <c r="D258" t="n">
        <v>9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M258" t="n">
        <v>1</v>
      </c>
    </row>
    <row r="259">
      <c r="A259" t="inlineStr">
        <is>
          <t>MADAME GOUGOUSSE</t>
        </is>
      </c>
      <c r="B259" t="n">
        <v>15642.55</v>
      </c>
      <c r="C259" t="n">
        <v>0</v>
      </c>
      <c r="D259" t="n">
        <v>7230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M259" t="n">
        <v>1</v>
      </c>
    </row>
    <row r="260">
      <c r="A260" t="inlineStr">
        <is>
          <t>MADE IN NATURE</t>
        </is>
      </c>
      <c r="B260" t="n">
        <v>27.28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M260" t="n">
        <v>1</v>
      </c>
    </row>
    <row r="261">
      <c r="A261" t="inlineStr">
        <is>
          <t>MAGA</t>
        </is>
      </c>
      <c r="B261" t="n">
        <v>80056.39999999999</v>
      </c>
      <c r="C261" t="n">
        <v>0</v>
      </c>
      <c r="D261" t="n">
        <v>25049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M261" t="n">
        <v>1</v>
      </c>
    </row>
    <row r="262">
      <c r="A262" t="inlineStr">
        <is>
          <t>MAGIC MAN</t>
        </is>
      </c>
      <c r="B262" t="n">
        <v>18024.87</v>
      </c>
      <c r="C262" t="n">
        <v>517.0799976840001</v>
      </c>
      <c r="D262" t="n">
        <v>4820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M262" t="n">
        <v>0</v>
      </c>
    </row>
    <row r="263">
      <c r="A263" t="inlineStr">
        <is>
          <t>MAGNA-TILES</t>
        </is>
      </c>
      <c r="B263" t="n">
        <v>0</v>
      </c>
      <c r="C263" t="n">
        <v>730.6318181049996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M263" t="n">
        <v>1</v>
      </c>
    </row>
    <row r="264">
      <c r="A264" t="inlineStr">
        <is>
          <t>MAHATMA</t>
        </is>
      </c>
      <c r="B264" t="n">
        <v>806.4</v>
      </c>
      <c r="C264" t="n">
        <v>8804.013486175003</v>
      </c>
      <c r="D264" t="n">
        <v>899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M264" t="n">
        <v>0</v>
      </c>
    </row>
    <row r="265">
      <c r="A265" t="inlineStr">
        <is>
          <t>MALHER</t>
        </is>
      </c>
      <c r="B265" t="n">
        <v>177.39</v>
      </c>
      <c r="C265" t="n">
        <v>0</v>
      </c>
      <c r="D265" t="n">
        <v>9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M265" t="n">
        <v>1</v>
      </c>
    </row>
    <row r="266">
      <c r="A266" t="inlineStr">
        <is>
          <t>MAMA JULIA</t>
        </is>
      </c>
      <c r="B266" t="n">
        <v>17555.63</v>
      </c>
      <c r="C266" t="n">
        <v>233.489997856</v>
      </c>
      <c r="D266" t="n">
        <v>2528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M266" t="n">
        <v>0</v>
      </c>
    </row>
    <row r="267">
      <c r="A267" t="inlineStr">
        <is>
          <t>MAMA SITA'S</t>
        </is>
      </c>
      <c r="B267" t="n">
        <v>0</v>
      </c>
      <c r="C267" t="n">
        <v>2.018480856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M267" t="n">
        <v>1</v>
      </c>
    </row>
    <row r="268">
      <c r="A268" t="inlineStr">
        <is>
          <t>MANISCHEWITZ</t>
        </is>
      </c>
      <c r="B268" t="n">
        <v>-8.08</v>
      </c>
      <c r="C268" t="n">
        <v>0</v>
      </c>
      <c r="D268" t="n">
        <v>-1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M268" t="n">
        <v>1</v>
      </c>
    </row>
    <row r="269">
      <c r="A269" t="inlineStr">
        <is>
          <t>MANNA PRO</t>
        </is>
      </c>
      <c r="B269" t="n">
        <v>2008.8</v>
      </c>
      <c r="C269" t="n">
        <v>0</v>
      </c>
      <c r="D269" t="n">
        <v>310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M269" t="n">
        <v>1</v>
      </c>
    </row>
    <row r="270">
      <c r="A270" t="inlineStr">
        <is>
          <t>MANWICH</t>
        </is>
      </c>
      <c r="B270" t="n">
        <v>104175093.72</v>
      </c>
      <c r="C270" t="n">
        <v>125401.495903989</v>
      </c>
      <c r="D270" t="n">
        <v>68795410</v>
      </c>
      <c r="E270" t="n">
        <v>0</v>
      </c>
      <c r="F270" t="n">
        <v>0</v>
      </c>
      <c r="G270" t="n">
        <v>2</v>
      </c>
      <c r="H270" t="n">
        <v>3</v>
      </c>
      <c r="I270" t="n">
        <v>0.7</v>
      </c>
      <c r="M270" t="n">
        <v>0</v>
      </c>
    </row>
    <row r="271">
      <c r="A271" t="inlineStr">
        <is>
          <t>MARCO POLO</t>
        </is>
      </c>
      <c r="B271" t="n">
        <v>397865.41</v>
      </c>
      <c r="C271" t="n">
        <v>50.700000401</v>
      </c>
      <c r="D271" t="n">
        <v>92613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M271" t="n">
        <v>0</v>
      </c>
    </row>
    <row r="272">
      <c r="A272" t="inlineStr">
        <is>
          <t>MARGARET HOLMES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M272" t="n">
        <v>1</v>
      </c>
    </row>
    <row r="273">
      <c r="A273" t="inlineStr">
        <is>
          <t>MARIE CALLENDER'S</t>
        </is>
      </c>
      <c r="B273" t="n">
        <v>1212144.39</v>
      </c>
      <c r="C273" t="n">
        <v>0</v>
      </c>
      <c r="D273" t="n">
        <v>651216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M273" t="n">
        <v>1</v>
      </c>
    </row>
    <row r="274">
      <c r="A274" t="inlineStr">
        <is>
          <t>MARKETSIDE</t>
        </is>
      </c>
      <c r="B274" t="n">
        <v>2016606.5</v>
      </c>
      <c r="C274" t="n">
        <v>0</v>
      </c>
      <c r="D274" t="n">
        <v>285686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M274" t="n">
        <v>1</v>
      </c>
    </row>
    <row r="275">
      <c r="A275" t="inlineStr">
        <is>
          <t>MARUCHAN</t>
        </is>
      </c>
      <c r="B275" t="n">
        <v>298579.785000009</v>
      </c>
      <c r="C275" t="n">
        <v>0</v>
      </c>
      <c r="D275" t="n">
        <v>66840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M275" t="n">
        <v>1</v>
      </c>
    </row>
    <row r="276">
      <c r="A276" t="inlineStr">
        <is>
          <t>MARY KITCHEN</t>
        </is>
      </c>
      <c r="B276" t="n">
        <v>85823276.72445238</v>
      </c>
      <c r="C276" t="n">
        <v>299162.824511103</v>
      </c>
      <c r="D276" t="n">
        <v>22360152</v>
      </c>
      <c r="E276" t="n">
        <v>0</v>
      </c>
      <c r="F276" t="n">
        <v>0</v>
      </c>
      <c r="G276" t="n">
        <v>1.6</v>
      </c>
      <c r="H276" t="n">
        <v>1</v>
      </c>
      <c r="I276" t="n">
        <v>1.6</v>
      </c>
      <c r="M276" t="n">
        <v>0</v>
      </c>
    </row>
    <row r="277">
      <c r="A277" t="inlineStr">
        <is>
          <t>MARZETTI</t>
        </is>
      </c>
      <c r="B277" t="n">
        <v>29737.14</v>
      </c>
      <c r="C277" t="n">
        <v>0</v>
      </c>
      <c r="D277" t="n">
        <v>6958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M277" t="n">
        <v>1</v>
      </c>
    </row>
    <row r="278">
      <c r="A278" t="inlineStr">
        <is>
          <t>MAYA KAIMAL</t>
        </is>
      </c>
      <c r="B278" t="n">
        <v>-4.42</v>
      </c>
      <c r="C278" t="n">
        <v>0</v>
      </c>
      <c r="D278" t="n">
        <v>-1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M278" t="n">
        <v>1</v>
      </c>
    </row>
    <row r="279">
      <c r="A279" t="inlineStr">
        <is>
          <t>MCCORMICK</t>
        </is>
      </c>
      <c r="B279" t="n">
        <v>-44.28</v>
      </c>
      <c r="C279" t="n">
        <v>0</v>
      </c>
      <c r="D279" t="n">
        <v>-2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M279" t="n">
        <v>1</v>
      </c>
    </row>
    <row r="280">
      <c r="A280" t="inlineStr">
        <is>
          <t>MEAL MART</t>
        </is>
      </c>
      <c r="B280" t="n">
        <v>15865.25</v>
      </c>
      <c r="C280" t="n">
        <v>0</v>
      </c>
      <c r="D280" t="n">
        <v>2342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M280" t="n">
        <v>1</v>
      </c>
    </row>
    <row r="281">
      <c r="A281" t="inlineStr">
        <is>
          <t>MEAT SHREDZ</t>
        </is>
      </c>
      <c r="B281" t="n">
        <v>207082.96</v>
      </c>
      <c r="C281" t="n">
        <v>16877.519934667</v>
      </c>
      <c r="D281" t="n">
        <v>38062</v>
      </c>
      <c r="E281" t="n">
        <v>0</v>
      </c>
      <c r="F281" t="n">
        <v>0</v>
      </c>
      <c r="G281" t="n">
        <v>0</v>
      </c>
      <c r="H281" t="n">
        <v>0</v>
      </c>
      <c r="I281" t="n">
        <v>0.1</v>
      </c>
      <c r="M281" t="n">
        <v>0</v>
      </c>
    </row>
    <row r="282">
      <c r="A282" t="inlineStr">
        <is>
          <t>MEGA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M282" t="n">
        <v>1</v>
      </c>
    </row>
    <row r="283">
      <c r="A283" t="inlineStr">
        <is>
          <t>MEMBER'S MARK</t>
        </is>
      </c>
      <c r="B283" t="n">
        <v>34.4</v>
      </c>
      <c r="C283" t="n">
        <v>0</v>
      </c>
      <c r="D283" t="n">
        <v>5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M283" t="n">
        <v>1</v>
      </c>
    </row>
    <row r="284">
      <c r="A284" t="inlineStr">
        <is>
          <t>MEZZETTA</t>
        </is>
      </c>
      <c r="B284" t="n">
        <v>1.98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M284" t="n">
        <v>1</v>
      </c>
    </row>
    <row r="285">
      <c r="A285" t="inlineStr">
        <is>
          <t>MI CAMPO</t>
        </is>
      </c>
      <c r="B285" t="n">
        <v>4452.51</v>
      </c>
      <c r="C285" t="n">
        <v>0</v>
      </c>
      <c r="D285" t="n">
        <v>3293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M285" t="n">
        <v>1</v>
      </c>
    </row>
    <row r="286">
      <c r="A286" t="inlineStr">
        <is>
          <t>MI GUATEMALA</t>
        </is>
      </c>
      <c r="B286" t="n">
        <v>100.31</v>
      </c>
      <c r="C286" t="n">
        <v>0</v>
      </c>
      <c r="D286" t="n">
        <v>7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M286" t="n">
        <v>1</v>
      </c>
    </row>
    <row r="287">
      <c r="A287" t="inlineStr">
        <is>
          <t>MILPAS</t>
        </is>
      </c>
      <c r="B287" t="n">
        <v>186.06</v>
      </c>
      <c r="C287" t="n">
        <v>0</v>
      </c>
      <c r="D287" t="n">
        <v>35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M287" t="n">
        <v>1</v>
      </c>
    </row>
    <row r="288">
      <c r="A288" t="inlineStr">
        <is>
          <t>MINA</t>
        </is>
      </c>
      <c r="B288" t="n">
        <v>30960.18</v>
      </c>
      <c r="C288" t="n">
        <v>0</v>
      </c>
      <c r="D288" t="n">
        <v>6895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M288" t="n">
        <v>1</v>
      </c>
    </row>
    <row r="289">
      <c r="A289" t="inlineStr">
        <is>
          <t>MINSLEY</t>
        </is>
      </c>
      <c r="B289" t="n">
        <v>1.5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M289" t="n">
        <v>1</v>
      </c>
    </row>
    <row r="290">
      <c r="A290" t="inlineStr">
        <is>
          <t>MINUTE</t>
        </is>
      </c>
      <c r="B290" t="n">
        <v>1401.5</v>
      </c>
      <c r="C290" t="n">
        <v>5636.284392670001</v>
      </c>
      <c r="D290" t="n">
        <v>663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M290" t="n">
        <v>0</v>
      </c>
    </row>
    <row r="291">
      <c r="A291" t="inlineStr">
        <is>
          <t>MIRACLE NOODLE</t>
        </is>
      </c>
      <c r="B291" t="n">
        <v>2203.23</v>
      </c>
      <c r="C291" t="n">
        <v>0</v>
      </c>
      <c r="D291" t="n">
        <v>236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M291" t="n">
        <v>1</v>
      </c>
    </row>
    <row r="292">
      <c r="A292" t="inlineStr">
        <is>
          <t>MIRACLE WHIP</t>
        </is>
      </c>
      <c r="B292" t="n">
        <v>0</v>
      </c>
      <c r="C292" t="n">
        <v>52.26000059500002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M292" t="n">
        <v>1</v>
      </c>
    </row>
    <row r="293">
      <c r="A293" t="inlineStr">
        <is>
          <t>MRS. ADLER'S</t>
        </is>
      </c>
      <c r="B293" t="n">
        <v>-4.78</v>
      </c>
      <c r="C293" t="n">
        <v>0</v>
      </c>
      <c r="D293" t="n">
        <v>-2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M293" t="n">
        <v>1</v>
      </c>
    </row>
    <row r="294">
      <c r="A294" t="inlineStr">
        <is>
          <t>MTR</t>
        </is>
      </c>
      <c r="B294" t="n">
        <v>910.55</v>
      </c>
      <c r="C294" t="n">
        <v>0</v>
      </c>
      <c r="D294" t="n">
        <v>461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M294" t="n">
        <v>1</v>
      </c>
    </row>
    <row r="295">
      <c r="A295" t="inlineStr">
        <is>
          <t>MW POLAR</t>
        </is>
      </c>
      <c r="B295" t="n">
        <v>10631260.25000001</v>
      </c>
      <c r="C295" t="n">
        <v>91154.18738034699</v>
      </c>
      <c r="D295" t="n">
        <v>4982552</v>
      </c>
      <c r="E295" t="n">
        <v>0</v>
      </c>
      <c r="F295" t="n">
        <v>0</v>
      </c>
      <c r="G295" t="n">
        <v>0.2</v>
      </c>
      <c r="H295" t="n">
        <v>0.2</v>
      </c>
      <c r="I295" t="n">
        <v>0.5</v>
      </c>
      <c r="M295" t="n">
        <v>0</v>
      </c>
    </row>
    <row r="296">
      <c r="A296" t="inlineStr">
        <is>
          <t>N'DULCE</t>
        </is>
      </c>
      <c r="B296" t="n">
        <v>134.46</v>
      </c>
      <c r="C296" t="n">
        <v>0</v>
      </c>
      <c r="D296" t="n">
        <v>27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M296" t="n">
        <v>1</v>
      </c>
    </row>
    <row r="297">
      <c r="A297" t="inlineStr">
        <is>
          <t>NAKED RICE</t>
        </is>
      </c>
      <c r="B297" t="n">
        <v>95.03999999999999</v>
      </c>
      <c r="C297" t="n">
        <v>0</v>
      </c>
      <c r="D297" t="n">
        <v>48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M297" t="n">
        <v>1</v>
      </c>
    </row>
    <row r="298">
      <c r="A298" t="inlineStr">
        <is>
          <t>NALLEY</t>
        </is>
      </c>
      <c r="B298" t="n">
        <v>35236180.73999999</v>
      </c>
      <c r="C298" t="n">
        <v>0</v>
      </c>
      <c r="D298" t="n">
        <v>18212011</v>
      </c>
      <c r="E298" t="n">
        <v>1</v>
      </c>
      <c r="F298" t="n">
        <v>0</v>
      </c>
      <c r="G298" t="n">
        <v>0.7</v>
      </c>
      <c r="H298" t="n">
        <v>0.8</v>
      </c>
      <c r="I298" t="n">
        <v>0</v>
      </c>
      <c r="M298" t="n">
        <v>1</v>
      </c>
    </row>
    <row r="299">
      <c r="A299" t="inlineStr">
        <is>
          <t>NASOYA</t>
        </is>
      </c>
      <c r="B299" t="n">
        <v>7.54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M299" t="n">
        <v>1</v>
      </c>
    </row>
    <row r="300">
      <c r="A300" t="inlineStr">
        <is>
          <t>NATIONAL CONEY ISLAND</t>
        </is>
      </c>
      <c r="B300" t="n">
        <v>523912.09</v>
      </c>
      <c r="C300" t="n">
        <v>9776.350162418998</v>
      </c>
      <c r="D300" t="n">
        <v>100899</v>
      </c>
      <c r="E300" t="n">
        <v>0</v>
      </c>
      <c r="F300" t="n">
        <v>0</v>
      </c>
      <c r="G300" t="n">
        <v>0</v>
      </c>
      <c r="H300" t="n">
        <v>0</v>
      </c>
      <c r="I300" t="n">
        <v>0.1</v>
      </c>
      <c r="M300" t="n">
        <v>0</v>
      </c>
    </row>
    <row r="301">
      <c r="A301" t="inlineStr">
        <is>
          <t>NATURAL SEA</t>
        </is>
      </c>
      <c r="B301" t="n">
        <v>5.05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M301" t="n">
        <v>1</v>
      </c>
    </row>
    <row r="302">
      <c r="A302" t="inlineStr">
        <is>
          <t>NATURE'S EARTHLY CHOICE</t>
        </is>
      </c>
      <c r="B302" t="n">
        <v>26495.84</v>
      </c>
      <c r="C302" t="n">
        <v>0</v>
      </c>
      <c r="D302" t="n">
        <v>6340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M302" t="n">
        <v>1</v>
      </c>
    </row>
    <row r="303">
      <c r="A303" t="inlineStr">
        <is>
          <t>NEAR EAST</t>
        </is>
      </c>
      <c r="B303" t="n">
        <v>37324.28</v>
      </c>
      <c r="C303" t="n">
        <v>0</v>
      </c>
      <c r="D303" t="n">
        <v>1125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M303" t="n">
        <v>1</v>
      </c>
    </row>
    <row r="304">
      <c r="A304" t="inlineStr">
        <is>
          <t>NEAT</t>
        </is>
      </c>
      <c r="B304" t="n">
        <v>179.58</v>
      </c>
      <c r="C304" t="n">
        <v>0</v>
      </c>
      <c r="D304" t="n">
        <v>6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M304" t="n">
        <v>1</v>
      </c>
    </row>
    <row r="305">
      <c r="A305" t="inlineStr">
        <is>
          <t>NEIGHBORLY FOOD CO.</t>
        </is>
      </c>
      <c r="B305" t="n">
        <v>5178.63</v>
      </c>
      <c r="C305" t="n">
        <v>0</v>
      </c>
      <c r="D305" t="n">
        <v>2093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M305" t="n">
        <v>1</v>
      </c>
    </row>
    <row r="306">
      <c r="A306" t="inlineStr">
        <is>
          <t>NEILLY'S FOODS</t>
        </is>
      </c>
      <c r="B306" t="n">
        <v>5945.469999999999</v>
      </c>
      <c r="C306" t="n">
        <v>0</v>
      </c>
      <c r="D306" t="n">
        <v>1410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M306" t="n">
        <v>1</v>
      </c>
    </row>
    <row r="307">
      <c r="A307" t="inlineStr">
        <is>
          <t>NISSIN</t>
        </is>
      </c>
      <c r="B307" t="n">
        <v>1255.2</v>
      </c>
      <c r="C307" t="n">
        <v>0</v>
      </c>
      <c r="D307" t="n">
        <v>80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M307" t="n">
        <v>1</v>
      </c>
    </row>
    <row r="308">
      <c r="A308" t="inlineStr">
        <is>
          <t>NISSIN HOT &amp; SPICY FIRE WOK</t>
        </is>
      </c>
      <c r="B308" t="n">
        <v>9.24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M308" t="n">
        <v>1</v>
      </c>
    </row>
    <row r="309">
      <c r="A309" t="inlineStr">
        <is>
          <t>NOBRAND</t>
        </is>
      </c>
      <c r="B309" t="n">
        <v>226.17</v>
      </c>
      <c r="C309" t="n">
        <v>0</v>
      </c>
      <c r="D309" t="n">
        <v>45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K309" t="n">
        <v>1</v>
      </c>
      <c r="M309" t="n">
        <v>1</v>
      </c>
    </row>
    <row r="310">
      <c r="A310" t="inlineStr">
        <is>
          <t>NONGSHIM</t>
        </is>
      </c>
      <c r="B310" t="n">
        <v>359796.54</v>
      </c>
      <c r="C310" t="n">
        <v>4104.589997302</v>
      </c>
      <c r="D310" t="n">
        <v>37153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M310" t="n">
        <v>0</v>
      </c>
    </row>
    <row r="311">
      <c r="A311" t="inlineStr">
        <is>
          <t>NU-MEAT</t>
        </is>
      </c>
      <c r="B311" t="n">
        <v>487129.58</v>
      </c>
      <c r="C311" t="n">
        <v>0</v>
      </c>
      <c r="D311" t="n">
        <v>137040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M311" t="n">
        <v>1</v>
      </c>
    </row>
    <row r="312">
      <c r="A312" t="inlineStr">
        <is>
          <t>NUMAR</t>
        </is>
      </c>
      <c r="B312" t="n">
        <v>789658.7000000001</v>
      </c>
      <c r="C312" t="n">
        <v>0</v>
      </c>
      <c r="D312" t="n">
        <v>685300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M312" t="n">
        <v>1</v>
      </c>
    </row>
    <row r="313">
      <c r="A313" t="inlineStr">
        <is>
          <t>NUTRISYSTEM</t>
        </is>
      </c>
      <c r="B313" t="n">
        <v>550417.8599999999</v>
      </c>
      <c r="C313" t="n">
        <v>12447.593798771</v>
      </c>
      <c r="D313" t="n">
        <v>9117</v>
      </c>
      <c r="E313" t="n">
        <v>0</v>
      </c>
      <c r="F313" t="n">
        <v>0</v>
      </c>
      <c r="G313" t="n">
        <v>0</v>
      </c>
      <c r="H313" t="n">
        <v>0</v>
      </c>
      <c r="I313" t="n">
        <v>0.1</v>
      </c>
      <c r="M313" t="n">
        <v>0</v>
      </c>
    </row>
    <row r="314">
      <c r="A314" t="inlineStr">
        <is>
          <t>OCEAN PRINCE</t>
        </is>
      </c>
      <c r="B314" t="n">
        <v>7.390000000000001</v>
      </c>
      <c r="C314" t="n">
        <v>0</v>
      </c>
      <c r="D314" t="n">
        <v>7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M314" t="n">
        <v>1</v>
      </c>
    </row>
    <row r="315">
      <c r="A315" t="inlineStr">
        <is>
          <t>OCEAN'S</t>
        </is>
      </c>
      <c r="B315" t="n">
        <v>518170.44</v>
      </c>
      <c r="C315" t="n">
        <v>16740.860001012</v>
      </c>
      <c r="D315" t="n">
        <v>276995</v>
      </c>
      <c r="E315" t="n">
        <v>0</v>
      </c>
      <c r="F315" t="n">
        <v>0</v>
      </c>
      <c r="G315" t="n">
        <v>0</v>
      </c>
      <c r="H315" t="n">
        <v>0</v>
      </c>
      <c r="I315" t="n">
        <v>0.1</v>
      </c>
      <c r="M315" t="n">
        <v>0</v>
      </c>
    </row>
    <row r="316">
      <c r="A316" t="inlineStr">
        <is>
          <t>OCEAN'S WILD</t>
        </is>
      </c>
      <c r="B316" t="n">
        <v>0</v>
      </c>
      <c r="C316" t="n">
        <v>188.539998666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M316" t="n">
        <v>1</v>
      </c>
    </row>
    <row r="317">
      <c r="A317" t="inlineStr">
        <is>
          <t>OLD HACIENDA</t>
        </is>
      </c>
      <c r="B317" t="n">
        <v>8629.120000000001</v>
      </c>
      <c r="C317" t="n">
        <v>0</v>
      </c>
      <c r="D317" t="n">
        <v>1489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M317" t="n">
        <v>1</v>
      </c>
    </row>
    <row r="318">
      <c r="A318" t="inlineStr">
        <is>
          <t>ONBOARD</t>
        </is>
      </c>
      <c r="B318" t="n">
        <v>169556.57</v>
      </c>
      <c r="C318" t="n">
        <v>14524.860007374</v>
      </c>
      <c r="D318" t="n">
        <v>30125</v>
      </c>
      <c r="E318" t="n">
        <v>0</v>
      </c>
      <c r="F318" t="n">
        <v>0</v>
      </c>
      <c r="G318" t="n">
        <v>0</v>
      </c>
      <c r="H318" t="n">
        <v>0</v>
      </c>
      <c r="I318" t="n">
        <v>0.1</v>
      </c>
      <c r="M318" t="n">
        <v>0</v>
      </c>
    </row>
    <row r="319">
      <c r="A319" t="inlineStr">
        <is>
          <t>ONLINE</t>
        </is>
      </c>
      <c r="B319" t="n">
        <v>11684.87</v>
      </c>
      <c r="C319" t="n">
        <v>0</v>
      </c>
      <c r="D319" t="n">
        <v>2474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K319" t="n">
        <v>1</v>
      </c>
      <c r="M319" t="n">
        <v>1</v>
      </c>
    </row>
    <row r="320">
      <c r="A320" t="inlineStr">
        <is>
          <t>ORLEANS FOODS</t>
        </is>
      </c>
      <c r="B320" t="n">
        <v>969.8000000000001</v>
      </c>
      <c r="C320" t="n">
        <v>0</v>
      </c>
      <c r="D320" t="n">
        <v>797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M320" t="n">
        <v>1</v>
      </c>
    </row>
    <row r="321">
      <c r="A321" t="inlineStr">
        <is>
          <t>ORTEGA</t>
        </is>
      </c>
      <c r="B321" t="n">
        <v>21881.18</v>
      </c>
      <c r="C321" t="n">
        <v>69.80000104699999</v>
      </c>
      <c r="D321" t="n">
        <v>11090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M321" t="n">
        <v>0</v>
      </c>
    </row>
    <row r="322">
      <c r="A322" t="inlineStr">
        <is>
          <t>ORTIZ</t>
        </is>
      </c>
      <c r="B322" t="n">
        <v>-14</v>
      </c>
      <c r="C322" t="n">
        <v>0</v>
      </c>
      <c r="D322" t="n">
        <v>-1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M322" t="n">
        <v>1</v>
      </c>
    </row>
    <row r="323">
      <c r="A323" t="inlineStr">
        <is>
          <t>OX &amp; PALM</t>
        </is>
      </c>
      <c r="B323" t="n">
        <v>807886.9399999951</v>
      </c>
      <c r="C323" t="n">
        <v>7786.419983972998</v>
      </c>
      <c r="D323" t="n">
        <v>131731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M323" t="n">
        <v>0</v>
      </c>
    </row>
    <row r="324">
      <c r="A324" t="inlineStr">
        <is>
          <t>PACIFIC FOODS</t>
        </is>
      </c>
      <c r="B324" t="n">
        <v>3585591.79</v>
      </c>
      <c r="C324" t="n">
        <v>6844.037757696</v>
      </c>
      <c r="D324" t="n">
        <v>1169544</v>
      </c>
      <c r="E324" t="n">
        <v>0</v>
      </c>
      <c r="F324" t="n">
        <v>0</v>
      </c>
      <c r="G324" t="n">
        <v>0.1</v>
      </c>
      <c r="H324" t="n">
        <v>0.1</v>
      </c>
      <c r="I324" t="n">
        <v>0</v>
      </c>
      <c r="M324" t="n">
        <v>0</v>
      </c>
    </row>
    <row r="325">
      <c r="A325" t="inlineStr">
        <is>
          <t>PACIFIC PEARL</t>
        </is>
      </c>
      <c r="B325" t="n">
        <v>77523.64999999999</v>
      </c>
      <c r="C325" t="n">
        <v>9.749999881999999</v>
      </c>
      <c r="D325" t="n">
        <v>39623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M325" t="n">
        <v>0</v>
      </c>
    </row>
    <row r="326">
      <c r="A326" t="inlineStr">
        <is>
          <t>PALACIO DE ORIENTE</t>
        </is>
      </c>
      <c r="B326" t="n">
        <v>2046.32</v>
      </c>
      <c r="C326" t="n">
        <v>0</v>
      </c>
      <c r="D326" t="n">
        <v>442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M326" t="n">
        <v>1</v>
      </c>
    </row>
    <row r="327">
      <c r="A327" t="inlineStr">
        <is>
          <t>PALIRRIA</t>
        </is>
      </c>
      <c r="B327" t="n">
        <v>2.98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M327" t="n">
        <v>1</v>
      </c>
    </row>
    <row r="328">
      <c r="A328" t="inlineStr">
        <is>
          <t>PAMPA</t>
        </is>
      </c>
      <c r="B328" t="n">
        <v>6983904.309999998</v>
      </c>
      <c r="C328" t="n">
        <v>10630.080172207</v>
      </c>
      <c r="D328" t="n">
        <v>2572801</v>
      </c>
      <c r="E328" t="n">
        <v>0</v>
      </c>
      <c r="F328" t="n">
        <v>0</v>
      </c>
      <c r="G328" t="n">
        <v>0.1</v>
      </c>
      <c r="H328" t="n">
        <v>0.1</v>
      </c>
      <c r="I328" t="n">
        <v>0.1</v>
      </c>
      <c r="M328" t="n">
        <v>0</v>
      </c>
    </row>
    <row r="329">
      <c r="A329" t="inlineStr">
        <is>
          <t>PAMPLONA</t>
        </is>
      </c>
      <c r="B329" t="n">
        <v>221604.5</v>
      </c>
      <c r="C329" t="n">
        <v>0</v>
      </c>
      <c r="D329" t="n">
        <v>139089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M329" t="n">
        <v>1</v>
      </c>
    </row>
    <row r="330">
      <c r="A330" t="inlineStr">
        <is>
          <t>PANAMEI SEAFOOD</t>
        </is>
      </c>
      <c r="B330" t="n">
        <v>518612.34</v>
      </c>
      <c r="C330" t="n">
        <v>0</v>
      </c>
      <c r="D330" t="n">
        <v>314410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M330" t="n">
        <v>1</v>
      </c>
    </row>
    <row r="331">
      <c r="A331" t="inlineStr">
        <is>
          <t>PANDA SIGNATURE</t>
        </is>
      </c>
      <c r="B331" t="n">
        <v>838.4399999999999</v>
      </c>
      <c r="C331" t="n">
        <v>0</v>
      </c>
      <c r="D331" t="n">
        <v>865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M331" t="n">
        <v>1</v>
      </c>
    </row>
    <row r="332">
      <c r="A332" t="inlineStr">
        <is>
          <t>PAPA TOM</t>
        </is>
      </c>
      <c r="B332" t="n">
        <v>1176.59</v>
      </c>
      <c r="C332" t="n">
        <v>0</v>
      </c>
      <c r="D332" t="n">
        <v>341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M332" t="n">
        <v>1</v>
      </c>
    </row>
    <row r="333">
      <c r="A333" t="inlineStr">
        <is>
          <t>PASSAGE FOODS</t>
        </is>
      </c>
      <c r="B333" t="n">
        <v>1782.36</v>
      </c>
      <c r="C333" t="n">
        <v>0</v>
      </c>
      <c r="D333" t="n">
        <v>720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M333" t="n">
        <v>1</v>
      </c>
    </row>
    <row r="334">
      <c r="A334" t="inlineStr">
        <is>
          <t>PASSAGE TO ASIA</t>
        </is>
      </c>
      <c r="B334" t="n">
        <v>0</v>
      </c>
      <c r="C334" t="n">
        <v>77.35999992899998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M334" t="n">
        <v>1</v>
      </c>
    </row>
    <row r="335">
      <c r="A335" t="inlineStr">
        <is>
          <t>PASSPORT CUISINE</t>
        </is>
      </c>
      <c r="B335" t="n">
        <v>13.98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M335" t="n">
        <v>1</v>
      </c>
    </row>
    <row r="336">
      <c r="A336" t="inlineStr">
        <is>
          <t>PATEL</t>
        </is>
      </c>
      <c r="B336" t="n">
        <v>6446.21</v>
      </c>
      <c r="C336" t="n">
        <v>0</v>
      </c>
      <c r="D336" t="n">
        <v>209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M336" t="n">
        <v>1</v>
      </c>
    </row>
    <row r="337">
      <c r="A337" t="inlineStr">
        <is>
          <t>PATEL'S</t>
        </is>
      </c>
      <c r="B337" t="n">
        <v>645.26</v>
      </c>
      <c r="C337" t="n">
        <v>0</v>
      </c>
      <c r="D337" t="n">
        <v>19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M337" t="n">
        <v>1</v>
      </c>
    </row>
    <row r="338">
      <c r="A338" t="inlineStr">
        <is>
          <t>PATTERSON'S</t>
        </is>
      </c>
      <c r="B338" t="n">
        <v>1809113.94</v>
      </c>
      <c r="C338" t="n">
        <v>7222.100187410999</v>
      </c>
      <c r="D338" t="n">
        <v>201189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M338" t="n">
        <v>0</v>
      </c>
    </row>
    <row r="339">
      <c r="A339" t="inlineStr">
        <is>
          <t>PEPPERIDGE FARM</t>
        </is>
      </c>
      <c r="B339" t="n">
        <v>7.74</v>
      </c>
      <c r="C339" t="n">
        <v>0</v>
      </c>
      <c r="D339" t="n">
        <v>7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L339" t="n">
        <v>2</v>
      </c>
      <c r="M339" t="n">
        <v>0</v>
      </c>
    </row>
    <row r="340">
      <c r="A340" t="inlineStr">
        <is>
          <t>PHILADELPHIA</t>
        </is>
      </c>
      <c r="B340" t="n">
        <v>2588.97</v>
      </c>
      <c r="C340" t="n">
        <v>0</v>
      </c>
      <c r="D340" t="n">
        <v>371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M340" t="n">
        <v>1</v>
      </c>
    </row>
    <row r="341">
      <c r="A341" t="inlineStr">
        <is>
          <t>PICNIC</t>
        </is>
      </c>
      <c r="B341" t="n">
        <v>566617.74</v>
      </c>
      <c r="C341" t="n">
        <v>0</v>
      </c>
      <c r="D341" t="n">
        <v>537201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M341" t="n">
        <v>1</v>
      </c>
    </row>
    <row r="342">
      <c r="A342" t="inlineStr">
        <is>
          <t>PILLAR ROCK</t>
        </is>
      </c>
      <c r="B342" t="n">
        <v>5909.090000000001</v>
      </c>
      <c r="C342" t="n">
        <v>0</v>
      </c>
      <c r="D342" t="n">
        <v>51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M342" t="n">
        <v>1</v>
      </c>
    </row>
    <row r="343">
      <c r="A343" t="inlineStr">
        <is>
          <t>PINNACLE</t>
        </is>
      </c>
      <c r="B343" t="n">
        <v>5776940.42</v>
      </c>
      <c r="C343" t="n">
        <v>0</v>
      </c>
      <c r="D343" t="n">
        <v>1463846</v>
      </c>
      <c r="E343" t="n">
        <v>1</v>
      </c>
      <c r="F343" t="n">
        <v>0</v>
      </c>
      <c r="G343" t="n">
        <v>0.1</v>
      </c>
      <c r="H343" t="n">
        <v>0.1</v>
      </c>
      <c r="I343" t="n">
        <v>0</v>
      </c>
      <c r="M343" t="n">
        <v>1</v>
      </c>
    </row>
    <row r="344">
      <c r="A344" t="inlineStr">
        <is>
          <t>PINTON</t>
        </is>
      </c>
      <c r="B344" t="n">
        <v>258.26</v>
      </c>
      <c r="C344" t="n">
        <v>0</v>
      </c>
      <c r="D344" t="n">
        <v>37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M344" t="n">
        <v>1</v>
      </c>
    </row>
    <row r="345">
      <c r="A345" t="inlineStr">
        <is>
          <t>PLANTSTRONG</t>
        </is>
      </c>
      <c r="B345" t="n">
        <v>5977.39</v>
      </c>
      <c r="C345" t="n">
        <v>199.8800020960001</v>
      </c>
      <c r="D345" t="n">
        <v>1112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M345" t="n">
        <v>0</v>
      </c>
    </row>
    <row r="346">
      <c r="A346" t="inlineStr">
        <is>
          <t>PODRAVKA</t>
        </is>
      </c>
      <c r="B346" t="n">
        <v>2574.49</v>
      </c>
      <c r="C346" t="n">
        <v>0</v>
      </c>
      <c r="D346" t="n">
        <v>611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M346" t="n">
        <v>1</v>
      </c>
    </row>
    <row r="347">
      <c r="A347" t="inlineStr">
        <is>
          <t>POLAR</t>
        </is>
      </c>
      <c r="B347" t="n">
        <v>14282156.845</v>
      </c>
      <c r="C347" t="n">
        <v>61685.94488000701</v>
      </c>
      <c r="D347" t="n">
        <v>4875319</v>
      </c>
      <c r="E347" t="n">
        <v>0</v>
      </c>
      <c r="F347" t="n">
        <v>0</v>
      </c>
      <c r="G347" t="n">
        <v>0.3</v>
      </c>
      <c r="H347" t="n">
        <v>0.2</v>
      </c>
      <c r="I347" t="n">
        <v>0.3</v>
      </c>
      <c r="M347" t="n">
        <v>0</v>
      </c>
    </row>
    <row r="348">
      <c r="A348" t="inlineStr">
        <is>
          <t>PORTOFINO</t>
        </is>
      </c>
      <c r="B348" t="n">
        <v>104.82</v>
      </c>
      <c r="C348" t="n">
        <v>0</v>
      </c>
      <c r="D348" t="n">
        <v>64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M348" t="n">
        <v>1</v>
      </c>
    </row>
    <row r="349">
      <c r="A349" t="inlineStr">
        <is>
          <t>PRAIRIE BELT</t>
        </is>
      </c>
      <c r="B349" t="n">
        <v>4406975.17</v>
      </c>
      <c r="C349" t="n">
        <v>0</v>
      </c>
      <c r="D349" t="n">
        <v>3038613</v>
      </c>
      <c r="E349" t="n">
        <v>1</v>
      </c>
      <c r="F349" t="n">
        <v>0</v>
      </c>
      <c r="G349" t="n">
        <v>0.1</v>
      </c>
      <c r="H349" t="n">
        <v>0.1</v>
      </c>
      <c r="I349" t="n">
        <v>0</v>
      </c>
      <c r="M349" t="n">
        <v>1</v>
      </c>
    </row>
    <row r="350">
      <c r="A350" t="inlineStr">
        <is>
          <t>PREP CHEF</t>
        </is>
      </c>
      <c r="B350" t="n">
        <v>1117745.19</v>
      </c>
      <c r="C350" t="n">
        <v>0</v>
      </c>
      <c r="D350" t="n">
        <v>129125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M350" t="n">
        <v>1</v>
      </c>
    </row>
    <row r="351">
      <c r="A351" t="inlineStr">
        <is>
          <t>PRESTY FOODS</t>
        </is>
      </c>
      <c r="B351" t="n">
        <v>12184.27</v>
      </c>
      <c r="C351" t="n">
        <v>0</v>
      </c>
      <c r="D351" t="n">
        <v>6538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M351" t="n">
        <v>1</v>
      </c>
    </row>
    <row r="352">
      <c r="A352" t="inlineStr">
        <is>
          <t>PRIDE OF INDIA</t>
        </is>
      </c>
      <c r="B352" t="n">
        <v>169.6</v>
      </c>
      <c r="C352" t="n">
        <v>0</v>
      </c>
      <c r="D352" t="n">
        <v>14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M352" t="n">
        <v>1</v>
      </c>
    </row>
    <row r="353">
      <c r="A353" t="inlineStr">
        <is>
          <t>PROCESA</t>
        </is>
      </c>
      <c r="B353" t="n">
        <v>44.7</v>
      </c>
      <c r="C353" t="n">
        <v>0</v>
      </c>
      <c r="D353" t="n">
        <v>5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M353" t="n">
        <v>1</v>
      </c>
    </row>
    <row r="354">
      <c r="A354" t="inlineStr">
        <is>
          <t>PROPER GOOD</t>
        </is>
      </c>
      <c r="B354" t="n">
        <v>876332.62</v>
      </c>
      <c r="C354" t="n">
        <v>201365.688353311</v>
      </c>
      <c r="D354" t="n">
        <v>179092</v>
      </c>
      <c r="E354" t="n">
        <v>0</v>
      </c>
      <c r="F354" t="n">
        <v>0</v>
      </c>
      <c r="G354" t="n">
        <v>0</v>
      </c>
      <c r="H354" t="n">
        <v>0</v>
      </c>
      <c r="I354" t="n">
        <v>1.1</v>
      </c>
      <c r="M354" t="n">
        <v>0</v>
      </c>
    </row>
    <row r="355">
      <c r="A355" t="inlineStr">
        <is>
          <t>PUCK</t>
        </is>
      </c>
      <c r="B355" t="n">
        <v>219358.95</v>
      </c>
      <c r="C355" t="n">
        <v>0</v>
      </c>
      <c r="D355" t="n">
        <v>56724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M355" t="n">
        <v>1</v>
      </c>
    </row>
    <row r="356">
      <c r="A356" t="inlineStr">
        <is>
          <t>QUAKER</t>
        </is>
      </c>
      <c r="B356" t="n">
        <v>227350.39</v>
      </c>
      <c r="C356" t="n">
        <v>0</v>
      </c>
      <c r="D356" t="n">
        <v>152900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M356" t="n">
        <v>1</v>
      </c>
    </row>
    <row r="357">
      <c r="A357" t="inlineStr">
        <is>
          <t>RAGIN' CAJUN FIXINS</t>
        </is>
      </c>
      <c r="B357" t="n">
        <v>68177.02</v>
      </c>
      <c r="C357" t="n">
        <v>138.09999935</v>
      </c>
      <c r="D357" t="n">
        <v>19498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M357" t="n">
        <v>0</v>
      </c>
    </row>
    <row r="358">
      <c r="A358" t="inlineStr">
        <is>
          <t>RAGIN' CAJUN FIXIN’S</t>
        </is>
      </c>
      <c r="B358" t="n">
        <v>12315.19</v>
      </c>
      <c r="C358" t="n">
        <v>92.889999719</v>
      </c>
      <c r="D358" t="n">
        <v>3339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M358" t="n">
        <v>0</v>
      </c>
    </row>
    <row r="359">
      <c r="A359" t="inlineStr">
        <is>
          <t>RAGIN' CAJUN FOODS</t>
        </is>
      </c>
      <c r="B359" t="n">
        <v>128975.27</v>
      </c>
      <c r="C359" t="n">
        <v>1167.609998145</v>
      </c>
      <c r="D359" t="n">
        <v>36519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M359" t="n">
        <v>0</v>
      </c>
    </row>
    <row r="360">
      <c r="A360" t="inlineStr">
        <is>
          <t>RAINCOAST TRADING</t>
        </is>
      </c>
      <c r="B360" t="n">
        <v>49.53</v>
      </c>
      <c r="C360" t="n">
        <v>0</v>
      </c>
      <c r="D360" t="n">
        <v>25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M360" t="n">
        <v>1</v>
      </c>
    </row>
    <row r="361">
      <c r="A361" t="inlineStr">
        <is>
          <t>RAO'S HOMEMADE</t>
        </is>
      </c>
      <c r="B361" t="n">
        <v>195985.61</v>
      </c>
      <c r="C361" t="n">
        <v>0</v>
      </c>
      <c r="D361" t="n">
        <v>39613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M361" t="n">
        <v>1</v>
      </c>
    </row>
    <row r="362">
      <c r="A362" t="inlineStr">
        <is>
          <t>RAY'S</t>
        </is>
      </c>
      <c r="B362" t="n">
        <v>8.520000000000003</v>
      </c>
      <c r="C362" t="n">
        <v>0</v>
      </c>
      <c r="D362" t="n">
        <v>3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M362" t="n">
        <v>1</v>
      </c>
    </row>
    <row r="363">
      <c r="A363" t="inlineStr">
        <is>
          <t>REAL</t>
        </is>
      </c>
      <c r="B363" t="n">
        <v>19340.94</v>
      </c>
      <c r="C363" t="n">
        <v>0</v>
      </c>
      <c r="D363" t="n">
        <v>7197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M363" t="n">
        <v>1</v>
      </c>
    </row>
    <row r="364">
      <c r="A364" t="inlineStr">
        <is>
          <t>RED BARON</t>
        </is>
      </c>
      <c r="B364" t="n">
        <v>0</v>
      </c>
      <c r="C364" t="n">
        <v>1168.14070428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M364" t="n">
        <v>1</v>
      </c>
    </row>
    <row r="365">
      <c r="A365" t="inlineStr">
        <is>
          <t>RED GOLD</t>
        </is>
      </c>
      <c r="B365" t="n">
        <v>1294.81</v>
      </c>
      <c r="C365" t="n">
        <v>0</v>
      </c>
      <c r="D365" t="n">
        <v>99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M365" t="n">
        <v>1</v>
      </c>
    </row>
    <row r="366">
      <c r="A366" t="inlineStr">
        <is>
          <t>RED SMITH</t>
        </is>
      </c>
      <c r="B366" t="n">
        <v>217776.22</v>
      </c>
      <c r="C366" t="n">
        <v>0</v>
      </c>
      <c r="D366" t="n">
        <v>53589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M366" t="n">
        <v>1</v>
      </c>
    </row>
    <row r="367">
      <c r="A367" t="inlineStr">
        <is>
          <t>REDONDO'S</t>
        </is>
      </c>
      <c r="B367" t="n">
        <v>8501.76</v>
      </c>
      <c r="C367" t="n">
        <v>0</v>
      </c>
      <c r="D367" t="n">
        <v>2624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M367" t="n">
        <v>1</v>
      </c>
    </row>
    <row r="368">
      <c r="A368" t="inlineStr">
        <is>
          <t>REESE</t>
        </is>
      </c>
      <c r="B368" t="n">
        <v>3291814.16</v>
      </c>
      <c r="C368" t="n">
        <v>762.4599987860001</v>
      </c>
      <c r="D368" t="n">
        <v>1320855</v>
      </c>
      <c r="E368" t="n">
        <v>0</v>
      </c>
      <c r="F368" t="n">
        <v>0</v>
      </c>
      <c r="G368" t="n">
        <v>0.1</v>
      </c>
      <c r="H368" t="n">
        <v>0.1</v>
      </c>
      <c r="I368" t="n">
        <v>0</v>
      </c>
      <c r="M368" t="n">
        <v>0</v>
      </c>
    </row>
    <row r="369">
      <c r="A369" t="inlineStr">
        <is>
          <t>REESE FANCY</t>
        </is>
      </c>
      <c r="B369" t="n">
        <v>1064.47</v>
      </c>
      <c r="C369" t="n">
        <v>0</v>
      </c>
      <c r="D369" t="n">
        <v>20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M369" t="n">
        <v>1</v>
      </c>
    </row>
    <row r="370">
      <c r="A370" t="inlineStr">
        <is>
          <t>RESER'S FINE FOODS</t>
        </is>
      </c>
      <c r="B370" t="n">
        <v>136476.2</v>
      </c>
      <c r="C370" t="n">
        <v>0</v>
      </c>
      <c r="D370" t="n">
        <v>55884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M370" t="n">
        <v>1</v>
      </c>
    </row>
    <row r="371">
      <c r="A371" t="inlineStr">
        <is>
          <t>RICA SARDINES</t>
        </is>
      </c>
      <c r="B371" t="n">
        <v>27289.98</v>
      </c>
      <c r="C371" t="n">
        <v>0</v>
      </c>
      <c r="D371" t="n">
        <v>28134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M371" t="n">
        <v>1</v>
      </c>
    </row>
    <row r="372">
      <c r="A372" t="inlineStr">
        <is>
          <t>RICELAND</t>
        </is>
      </c>
      <c r="B372" t="n">
        <v>1.42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M372" t="n">
        <v>1</v>
      </c>
    </row>
    <row r="373">
      <c r="A373" t="inlineStr">
        <is>
          <t>RICO CHEF</t>
        </is>
      </c>
      <c r="B373" t="n">
        <v>2780.89</v>
      </c>
      <c r="C373" t="n">
        <v>0</v>
      </c>
      <c r="D373" t="n">
        <v>1462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M373" t="n">
        <v>1</v>
      </c>
    </row>
    <row r="374">
      <c r="A374" t="inlineStr">
        <is>
          <t>RIO MARE</t>
        </is>
      </c>
      <c r="B374" t="n">
        <v>53.2</v>
      </c>
      <c r="C374" t="n">
        <v>0</v>
      </c>
      <c r="D374" t="n">
        <v>5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M374" t="n">
        <v>1</v>
      </c>
    </row>
    <row r="375">
      <c r="A375" t="inlineStr">
        <is>
          <t>ROCKYS</t>
        </is>
      </c>
      <c r="B375" t="n">
        <v>1530.62</v>
      </c>
      <c r="C375" t="n">
        <v>0</v>
      </c>
      <c r="D375" t="n">
        <v>373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M375" t="n">
        <v>1</v>
      </c>
    </row>
    <row r="376">
      <c r="A376" t="inlineStr">
        <is>
          <t>ROLAND</t>
        </is>
      </c>
      <c r="B376" t="n">
        <v>3031466.809999998</v>
      </c>
      <c r="C376" t="n">
        <v>0</v>
      </c>
      <c r="D376" t="n">
        <v>810774</v>
      </c>
      <c r="E376" t="n">
        <v>1</v>
      </c>
      <c r="F376" t="n">
        <v>0</v>
      </c>
      <c r="G376" t="n">
        <v>0.1</v>
      </c>
      <c r="H376" t="n">
        <v>0</v>
      </c>
      <c r="I376" t="n">
        <v>0</v>
      </c>
      <c r="M376" t="n">
        <v>1</v>
      </c>
    </row>
    <row r="377">
      <c r="A377" t="inlineStr">
        <is>
          <t>ROLAND FOODS</t>
        </is>
      </c>
      <c r="B377" t="n">
        <v>35830.89</v>
      </c>
      <c r="C377" t="n">
        <v>0</v>
      </c>
      <c r="D377" t="n">
        <v>9557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M377" t="n">
        <v>1</v>
      </c>
    </row>
    <row r="378">
      <c r="A378" t="inlineStr">
        <is>
          <t>ROLLINGREENS</t>
        </is>
      </c>
      <c r="B378" t="n">
        <v>1811712</v>
      </c>
      <c r="C378" t="n">
        <v>29013.44007395699</v>
      </c>
      <c r="D378" t="n">
        <v>294367</v>
      </c>
      <c r="E378" t="n">
        <v>0</v>
      </c>
      <c r="F378" t="n">
        <v>0</v>
      </c>
      <c r="G378" t="n">
        <v>0</v>
      </c>
      <c r="H378" t="n">
        <v>0</v>
      </c>
      <c r="I378" t="n">
        <v>0.2</v>
      </c>
      <c r="M378" t="n">
        <v>0</v>
      </c>
    </row>
    <row r="379">
      <c r="A379" t="inlineStr">
        <is>
          <t>ROOTS</t>
        </is>
      </c>
      <c r="B379" t="n">
        <v>45342.48</v>
      </c>
      <c r="C379" t="n">
        <v>0</v>
      </c>
      <c r="D379" t="n">
        <v>4736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M379" t="n">
        <v>1</v>
      </c>
    </row>
    <row r="380">
      <c r="A380" t="inlineStr">
        <is>
          <t>ROSA</t>
        </is>
      </c>
      <c r="B380" t="n">
        <v>2804.56</v>
      </c>
      <c r="C380" t="n">
        <v>0</v>
      </c>
      <c r="D380" t="n">
        <v>1043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M380" t="n">
        <v>1</v>
      </c>
    </row>
    <row r="381">
      <c r="A381" t="inlineStr">
        <is>
          <t>ROSE</t>
        </is>
      </c>
      <c r="B381" t="n">
        <v>813448.59</v>
      </c>
      <c r="C381" t="n">
        <v>0</v>
      </c>
      <c r="D381" t="n">
        <v>76572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M381" t="n">
        <v>1</v>
      </c>
    </row>
    <row r="382">
      <c r="A382" t="inlineStr">
        <is>
          <t>ROSIES</t>
        </is>
      </c>
      <c r="B382" t="n">
        <v>2286.4</v>
      </c>
      <c r="C382" t="n">
        <v>0</v>
      </c>
      <c r="D382" t="n">
        <v>577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M382" t="n">
        <v>1</v>
      </c>
    </row>
    <row r="383">
      <c r="A383" t="inlineStr">
        <is>
          <t>ROSIE’S</t>
        </is>
      </c>
      <c r="B383" t="n">
        <v>257.04</v>
      </c>
      <c r="C383" t="n">
        <v>0</v>
      </c>
      <c r="D383" t="n">
        <v>63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M383" t="n">
        <v>1</v>
      </c>
    </row>
    <row r="384">
      <c r="A384" t="inlineStr">
        <is>
          <t>ROYAL</t>
        </is>
      </c>
      <c r="B384" t="n">
        <v>31731.97</v>
      </c>
      <c r="C384" t="n">
        <v>0</v>
      </c>
      <c r="D384" t="n">
        <v>8741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M384" t="n">
        <v>1</v>
      </c>
    </row>
    <row r="385">
      <c r="A385" t="inlineStr">
        <is>
          <t>ROYAL CROWN</t>
        </is>
      </c>
      <c r="B385" t="n">
        <v>34.76</v>
      </c>
      <c r="C385" t="n">
        <v>0</v>
      </c>
      <c r="D385" t="n">
        <v>22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M385" t="n">
        <v>1</v>
      </c>
    </row>
    <row r="386">
      <c r="A386" t="inlineStr">
        <is>
          <t>ROYAL INTIMACY</t>
        </is>
      </c>
      <c r="B386" t="n">
        <v>8232.43</v>
      </c>
      <c r="C386" t="n">
        <v>0</v>
      </c>
      <c r="D386" t="n">
        <v>2320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M386" t="n">
        <v>1</v>
      </c>
    </row>
    <row r="387">
      <c r="A387" t="inlineStr">
        <is>
          <t>ROYAL RED</t>
        </is>
      </c>
      <c r="B387" t="n">
        <v>21.72</v>
      </c>
      <c r="C387" t="n">
        <v>0</v>
      </c>
      <c r="D387" t="n">
        <v>3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M387" t="n">
        <v>1</v>
      </c>
    </row>
    <row r="388">
      <c r="A388" t="inlineStr">
        <is>
          <t>RUGEN FISCH</t>
        </is>
      </c>
      <c r="B388" t="n">
        <v>12080.84</v>
      </c>
      <c r="C388" t="n">
        <v>0</v>
      </c>
      <c r="D388" t="n">
        <v>4244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M388" t="n">
        <v>1</v>
      </c>
    </row>
    <row r="389">
      <c r="A389" t="inlineStr">
        <is>
          <t>SADAF</t>
        </is>
      </c>
      <c r="B389" t="n">
        <v>4962.52</v>
      </c>
      <c r="C389" t="n">
        <v>0</v>
      </c>
      <c r="D389" t="n">
        <v>1279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M389" t="n">
        <v>1</v>
      </c>
    </row>
    <row r="390">
      <c r="A390" t="inlineStr">
        <is>
          <t>SAFE CATCH</t>
        </is>
      </c>
      <c r="B390" t="n">
        <v>7063851.770000003</v>
      </c>
      <c r="C390" t="n">
        <v>173775.26269424</v>
      </c>
      <c r="D390" t="n">
        <v>2450339</v>
      </c>
      <c r="E390" t="n">
        <v>0</v>
      </c>
      <c r="F390" t="n">
        <v>0</v>
      </c>
      <c r="G390" t="n">
        <v>0.1</v>
      </c>
      <c r="H390" t="n">
        <v>0.1</v>
      </c>
      <c r="I390" t="n">
        <v>0.9</v>
      </c>
      <c r="M390" t="n">
        <v>0</v>
      </c>
    </row>
    <row r="391">
      <c r="A391" t="inlineStr">
        <is>
          <t>SALBA CHIA</t>
        </is>
      </c>
      <c r="B391" t="n">
        <v>0</v>
      </c>
      <c r="C391" t="n">
        <v>29504.84688518001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0.2</v>
      </c>
      <c r="M391" t="n">
        <v>1</v>
      </c>
    </row>
    <row r="392">
      <c r="A392" t="inlineStr">
        <is>
          <t>SAM'S CHOICE</t>
        </is>
      </c>
      <c r="B392" t="n">
        <v>1969.05</v>
      </c>
      <c r="C392" t="n">
        <v>0</v>
      </c>
      <c r="D392" t="n">
        <v>1211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M392" t="n">
        <v>1</v>
      </c>
    </row>
    <row r="393">
      <c r="A393" t="inlineStr">
        <is>
          <t>SAMYANG</t>
        </is>
      </c>
      <c r="B393" t="n">
        <v>17580.53</v>
      </c>
      <c r="C393" t="n">
        <v>0</v>
      </c>
      <c r="D393" t="n">
        <v>1069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M393" t="n">
        <v>1</v>
      </c>
    </row>
    <row r="394">
      <c r="A394" t="inlineStr">
        <is>
          <t>SAN MIG</t>
        </is>
      </c>
      <c r="B394" t="n">
        <v>14917.8</v>
      </c>
      <c r="C394" t="n">
        <v>0</v>
      </c>
      <c r="D394" t="n">
        <v>2757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M394" t="n">
        <v>1</v>
      </c>
    </row>
    <row r="395">
      <c r="A395" t="inlineStr">
        <is>
          <t>SAN MIGUEL</t>
        </is>
      </c>
      <c r="B395" t="n">
        <v>5.52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M395" t="n">
        <v>1</v>
      </c>
    </row>
    <row r="396">
      <c r="A396" t="inlineStr">
        <is>
          <t>SANTA BREMOR</t>
        </is>
      </c>
      <c r="B396" t="n">
        <v>-813.12</v>
      </c>
      <c r="C396" t="n">
        <v>0</v>
      </c>
      <c r="D396" t="n">
        <v>-65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M396" t="n">
        <v>1</v>
      </c>
    </row>
    <row r="397">
      <c r="A397" t="inlineStr">
        <is>
          <t>SAUCY LIPS</t>
        </is>
      </c>
      <c r="B397" t="n">
        <v>33250.45</v>
      </c>
      <c r="C397" t="n">
        <v>0</v>
      </c>
      <c r="D397" t="n">
        <v>5628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M397" t="n">
        <v>1</v>
      </c>
    </row>
    <row r="398">
      <c r="A398" t="inlineStr">
        <is>
          <t>SCHAR</t>
        </is>
      </c>
      <c r="B398" t="n">
        <v>3.08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M398" t="n">
        <v>1</v>
      </c>
    </row>
    <row r="399">
      <c r="A399" t="inlineStr">
        <is>
          <t>SCHWEIGERT</t>
        </is>
      </c>
      <c r="B399" t="n">
        <v>3499.2</v>
      </c>
      <c r="C399" t="n">
        <v>0</v>
      </c>
      <c r="D399" t="n">
        <v>540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M399" t="n">
        <v>1</v>
      </c>
    </row>
    <row r="400">
      <c r="A400" t="inlineStr">
        <is>
          <t>SCOUT</t>
        </is>
      </c>
      <c r="B400" t="n">
        <v>645417.39</v>
      </c>
      <c r="C400" t="n">
        <v>32060.609979492</v>
      </c>
      <c r="D400" t="n">
        <v>185833</v>
      </c>
      <c r="E400" t="n">
        <v>0</v>
      </c>
      <c r="F400" t="n">
        <v>0</v>
      </c>
      <c r="G400" t="n">
        <v>0</v>
      </c>
      <c r="H400" t="n">
        <v>0</v>
      </c>
      <c r="I400" t="n">
        <v>0.2</v>
      </c>
      <c r="M400" t="n">
        <v>0</v>
      </c>
    </row>
    <row r="401">
      <c r="A401" t="inlineStr">
        <is>
          <t>SEA ALASKA</t>
        </is>
      </c>
      <c r="B401" t="n">
        <v>394951.72</v>
      </c>
      <c r="C401" t="n">
        <v>0</v>
      </c>
      <c r="D401" t="n">
        <v>84303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M401" t="n">
        <v>1</v>
      </c>
    </row>
    <row r="402">
      <c r="A402" t="inlineStr">
        <is>
          <t>SEA CASTLE</t>
        </is>
      </c>
      <c r="B402" t="n">
        <v>58349.03999999999</v>
      </c>
      <c r="C402" t="n">
        <v>0</v>
      </c>
      <c r="D402" t="n">
        <v>33691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M402" t="n">
        <v>1</v>
      </c>
    </row>
    <row r="403">
      <c r="A403" t="inlineStr">
        <is>
          <t>SEA TALES</t>
        </is>
      </c>
      <c r="B403" t="n">
        <v>1817619.08</v>
      </c>
      <c r="C403" t="n">
        <v>9449.420016273005</v>
      </c>
      <c r="D403" t="n">
        <v>439915</v>
      </c>
      <c r="E403" t="n">
        <v>0</v>
      </c>
      <c r="F403" t="n">
        <v>0</v>
      </c>
      <c r="G403" t="n">
        <v>0</v>
      </c>
      <c r="H403" t="n">
        <v>0</v>
      </c>
      <c r="I403" t="n">
        <v>0.1</v>
      </c>
      <c r="M403" t="n">
        <v>0</v>
      </c>
    </row>
    <row r="404">
      <c r="A404" t="inlineStr">
        <is>
          <t>SEASON</t>
        </is>
      </c>
      <c r="B404" t="n">
        <v>28415051.3655</v>
      </c>
      <c r="C404" t="n">
        <v>79486.21948632698</v>
      </c>
      <c r="D404" t="n">
        <v>11578993</v>
      </c>
      <c r="E404" t="n">
        <v>0</v>
      </c>
      <c r="F404" t="n">
        <v>0</v>
      </c>
      <c r="G404" t="n">
        <v>0.5</v>
      </c>
      <c r="H404" t="n">
        <v>0.5</v>
      </c>
      <c r="I404" t="n">
        <v>0.4</v>
      </c>
      <c r="M404" t="n">
        <v>0</v>
      </c>
    </row>
    <row r="405">
      <c r="A405" t="inlineStr">
        <is>
          <t>SEASON BRAND</t>
        </is>
      </c>
      <c r="B405" t="n">
        <v>2277830.29</v>
      </c>
      <c r="C405" t="n">
        <v>6723.459880988001</v>
      </c>
      <c r="D405" t="n">
        <v>779228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M405" t="n">
        <v>0</v>
      </c>
    </row>
    <row r="406">
      <c r="A406" t="inlineStr">
        <is>
          <t>SEASONS</t>
        </is>
      </c>
      <c r="B406" t="n">
        <v>2823.57</v>
      </c>
      <c r="C406" t="n">
        <v>0</v>
      </c>
      <c r="D406" t="n">
        <v>492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M406" t="n">
        <v>1</v>
      </c>
    </row>
    <row r="407">
      <c r="A407" t="inlineStr">
        <is>
          <t>SEEDS OF CHANGE</t>
        </is>
      </c>
      <c r="B407" t="n">
        <v>5260.77</v>
      </c>
      <c r="C407" t="n">
        <v>0</v>
      </c>
      <c r="D407" t="n">
        <v>139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M407" t="n">
        <v>1</v>
      </c>
    </row>
    <row r="408">
      <c r="A408" t="inlineStr">
        <is>
          <t>SHAHIA</t>
        </is>
      </c>
      <c r="B408" t="n">
        <v>26575.58</v>
      </c>
      <c r="C408" t="n">
        <v>0</v>
      </c>
      <c r="D408" t="n">
        <v>12964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M408" t="n">
        <v>1</v>
      </c>
    </row>
    <row r="409">
      <c r="A409" t="inlineStr">
        <is>
          <t>SHAN</t>
        </is>
      </c>
      <c r="B409" t="n">
        <v>-13.34</v>
      </c>
      <c r="C409" t="n">
        <v>0</v>
      </c>
      <c r="D409" t="n">
        <v>-2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K409" t="n">
        <v>1</v>
      </c>
      <c r="M409" t="n">
        <v>1</v>
      </c>
    </row>
    <row r="410">
      <c r="A410" t="inlineStr">
        <is>
          <t>SHORE LUNCH</t>
        </is>
      </c>
      <c r="B410" t="n">
        <v>2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M410" t="n">
        <v>1</v>
      </c>
    </row>
    <row r="411">
      <c r="A411" t="inlineStr">
        <is>
          <t>SIDEAWAY FOODS</t>
        </is>
      </c>
      <c r="B411" t="n">
        <v>83417.59</v>
      </c>
      <c r="C411" t="n">
        <v>0</v>
      </c>
      <c r="D411" t="n">
        <v>27158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M411" t="n">
        <v>1</v>
      </c>
    </row>
    <row r="412">
      <c r="A412" t="inlineStr">
        <is>
          <t>SIMPLE EATS</t>
        </is>
      </c>
      <c r="B412" t="n">
        <v>0.64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M412" t="n">
        <v>1</v>
      </c>
    </row>
    <row r="413">
      <c r="A413" t="inlineStr">
        <is>
          <t>SKYLINE</t>
        </is>
      </c>
      <c r="B413" t="n">
        <v>1490261.160000004</v>
      </c>
      <c r="C413" t="n">
        <v>0</v>
      </c>
      <c r="D413" t="n">
        <v>277102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M413" t="n">
        <v>1</v>
      </c>
    </row>
    <row r="414">
      <c r="A414" t="inlineStr">
        <is>
          <t>SKYLINE CHILI</t>
        </is>
      </c>
      <c r="B414" t="n">
        <v>13653347.85083334</v>
      </c>
      <c r="C414" t="n">
        <v>0</v>
      </c>
      <c r="D414" t="n">
        <v>2477819</v>
      </c>
      <c r="E414" t="n">
        <v>1</v>
      </c>
      <c r="F414" t="n">
        <v>0</v>
      </c>
      <c r="G414" t="n">
        <v>0.3</v>
      </c>
      <c r="H414" t="n">
        <v>0.1</v>
      </c>
      <c r="I414" t="n">
        <v>0</v>
      </c>
      <c r="M414" t="n">
        <v>1</v>
      </c>
    </row>
    <row r="415">
      <c r="A415" t="inlineStr">
        <is>
          <t>SLAP YA MAMA</t>
        </is>
      </c>
      <c r="B415" t="n">
        <v>8.359999999999999</v>
      </c>
      <c r="C415" t="n">
        <v>0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M415" t="n">
        <v>1</v>
      </c>
    </row>
    <row r="416">
      <c r="A416" t="inlineStr">
        <is>
          <t>SLOW KETTLE</t>
        </is>
      </c>
      <c r="B416" t="n">
        <v>34620.31</v>
      </c>
      <c r="C416" t="n">
        <v>0</v>
      </c>
      <c r="D416" t="n">
        <v>11111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M416" t="n">
        <v>1</v>
      </c>
    </row>
    <row r="417">
      <c r="A417" t="inlineStr">
        <is>
          <t>SMUCKER'S</t>
        </is>
      </c>
      <c r="B417" t="n">
        <v>17603.69</v>
      </c>
      <c r="C417" t="n">
        <v>0</v>
      </c>
      <c r="D417" t="n">
        <v>707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M417" t="n">
        <v>1</v>
      </c>
    </row>
    <row r="418">
      <c r="A418" t="inlineStr">
        <is>
          <t>SNOW'S</t>
        </is>
      </c>
      <c r="B418" t="n">
        <v>21054194.61657143</v>
      </c>
      <c r="C418" t="n">
        <v>9456.170105199999</v>
      </c>
      <c r="D418" t="n">
        <v>9387910</v>
      </c>
      <c r="E418" t="n">
        <v>0</v>
      </c>
      <c r="F418" t="n">
        <v>0</v>
      </c>
      <c r="G418" t="n">
        <v>0.4</v>
      </c>
      <c r="H418" t="n">
        <v>0.4</v>
      </c>
      <c r="I418" t="n">
        <v>0.1</v>
      </c>
      <c r="M418" t="n">
        <v>0</v>
      </c>
    </row>
    <row r="419">
      <c r="A419" t="inlineStr">
        <is>
          <t>SOL-MEX</t>
        </is>
      </c>
      <c r="B419" t="n">
        <v>2948566.829999999</v>
      </c>
      <c r="C419" t="n">
        <v>0</v>
      </c>
      <c r="D419" t="n">
        <v>1289377</v>
      </c>
      <c r="E419" t="n">
        <v>1</v>
      </c>
      <c r="F419" t="n">
        <v>0</v>
      </c>
      <c r="G419" t="n">
        <v>0.1</v>
      </c>
      <c r="H419" t="n">
        <v>0.1</v>
      </c>
      <c r="I419" t="n">
        <v>0</v>
      </c>
      <c r="M419" t="n">
        <v>1</v>
      </c>
    </row>
    <row r="420">
      <c r="A420" t="inlineStr">
        <is>
          <t>SOMOS</t>
        </is>
      </c>
      <c r="B420" t="n">
        <v>11074.94</v>
      </c>
      <c r="C420" t="n">
        <v>57.678275739</v>
      </c>
      <c r="D420" t="n">
        <v>2998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M420" t="n">
        <v>0</v>
      </c>
    </row>
    <row r="421">
      <c r="A421" t="inlineStr">
        <is>
          <t>SOUTHGATE</t>
        </is>
      </c>
      <c r="B421" t="n">
        <v>860119.0700000001</v>
      </c>
      <c r="C421" t="n">
        <v>0</v>
      </c>
      <c r="D421" t="n">
        <v>548832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M421" t="n">
        <v>1</v>
      </c>
    </row>
    <row r="422">
      <c r="A422" t="inlineStr">
        <is>
          <t>SPAGHETTIOS</t>
        </is>
      </c>
      <c r="B422" t="n">
        <v>2.46</v>
      </c>
      <c r="C422" t="n">
        <v>0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M422" t="n">
        <v>1</v>
      </c>
    </row>
    <row r="423">
      <c r="A423" t="inlineStr">
        <is>
          <t>SPAM</t>
        </is>
      </c>
      <c r="B423" t="n">
        <v>324115284.9400001</v>
      </c>
      <c r="C423" t="n">
        <v>3260437.846862782</v>
      </c>
      <c r="D423" t="n">
        <v>83907389.46000001</v>
      </c>
      <c r="E423" t="n">
        <v>0</v>
      </c>
      <c r="F423" t="n">
        <v>0</v>
      </c>
      <c r="G423" t="n">
        <v>6.2</v>
      </c>
      <c r="H423" t="n">
        <v>3.6</v>
      </c>
      <c r="I423" t="n">
        <v>17.7</v>
      </c>
      <c r="M423" t="n">
        <v>0</v>
      </c>
    </row>
    <row r="424">
      <c r="A424" t="inlineStr">
        <is>
          <t>SPICEWALLA</t>
        </is>
      </c>
      <c r="B424" t="n">
        <v>100258.69</v>
      </c>
      <c r="C424" t="n">
        <v>0</v>
      </c>
      <c r="D424" t="n">
        <v>61117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M424" t="n">
        <v>1</v>
      </c>
    </row>
    <row r="425">
      <c r="A425" t="inlineStr">
        <is>
          <t>SPRAGUE</t>
        </is>
      </c>
      <c r="B425" t="n">
        <v>699588.8100000001</v>
      </c>
      <c r="C425" t="n">
        <v>12204.580034021</v>
      </c>
      <c r="D425" t="n">
        <v>226575</v>
      </c>
      <c r="E425" t="n">
        <v>0</v>
      </c>
      <c r="F425" t="n">
        <v>0</v>
      </c>
      <c r="G425" t="n">
        <v>0</v>
      </c>
      <c r="H425" t="n">
        <v>0</v>
      </c>
      <c r="I425" t="n">
        <v>0.1</v>
      </c>
      <c r="M425" t="n">
        <v>0</v>
      </c>
    </row>
    <row r="426">
      <c r="A426" t="inlineStr">
        <is>
          <t>SPRAGUE FOODS</t>
        </is>
      </c>
      <c r="B426" t="n">
        <v>0</v>
      </c>
      <c r="C426" t="n">
        <v>33.139999834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M426" t="n">
        <v>1</v>
      </c>
    </row>
    <row r="427">
      <c r="A427" t="inlineStr">
        <is>
          <t>STAGG CHILI</t>
        </is>
      </c>
      <c r="B427" t="n">
        <v>20971354.93</v>
      </c>
      <c r="C427" t="n">
        <v>14570.400084722</v>
      </c>
      <c r="D427" t="n">
        <v>7971856</v>
      </c>
      <c r="E427" t="n">
        <v>0</v>
      </c>
      <c r="F427" t="n">
        <v>0</v>
      </c>
      <c r="G427" t="n">
        <v>0.4</v>
      </c>
      <c r="H427" t="n">
        <v>0.3</v>
      </c>
      <c r="I427" t="n">
        <v>0.1</v>
      </c>
      <c r="M427" t="n">
        <v>0</v>
      </c>
    </row>
    <row r="428">
      <c r="A428" t="inlineStr">
        <is>
          <t>STAR</t>
        </is>
      </c>
      <c r="B428" t="n">
        <v>738.9</v>
      </c>
      <c r="C428" t="n">
        <v>0</v>
      </c>
      <c r="D428" t="n">
        <v>512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M428" t="n">
        <v>1</v>
      </c>
    </row>
    <row r="429">
      <c r="A429" t="inlineStr">
        <is>
          <t>STARKIST</t>
        </is>
      </c>
      <c r="B429" t="n">
        <v>879441339.0308332</v>
      </c>
      <c r="C429" t="n">
        <v>2466576.897878835</v>
      </c>
      <c r="D429" t="n">
        <v>443249441.8</v>
      </c>
      <c r="E429" t="n">
        <v>0</v>
      </c>
      <c r="F429" t="n">
        <v>0</v>
      </c>
      <c r="G429" t="n">
        <v>16.8</v>
      </c>
      <c r="H429" t="n">
        <v>19.3</v>
      </c>
      <c r="I429" t="n">
        <v>13.4</v>
      </c>
      <c r="M429" t="n">
        <v>0</v>
      </c>
    </row>
    <row r="430">
      <c r="A430" t="inlineStr">
        <is>
          <t>STARKIST SELECTS</t>
        </is>
      </c>
      <c r="B430" t="n">
        <v>8687066.700000001</v>
      </c>
      <c r="C430" t="n">
        <v>1056.580014108</v>
      </c>
      <c r="D430" t="n">
        <v>4376477</v>
      </c>
      <c r="E430" t="n">
        <v>0</v>
      </c>
      <c r="F430" t="n">
        <v>0</v>
      </c>
      <c r="G430" t="n">
        <v>0.2</v>
      </c>
      <c r="H430" t="n">
        <v>0.2</v>
      </c>
      <c r="I430" t="n">
        <v>0</v>
      </c>
      <c r="M430" t="n">
        <v>0</v>
      </c>
    </row>
    <row r="431">
      <c r="A431" t="inlineStr">
        <is>
          <t>STARKIST®</t>
        </is>
      </c>
      <c r="B431" t="n">
        <v>19.18</v>
      </c>
      <c r="C431" t="n">
        <v>149.194820558</v>
      </c>
      <c r="D431" t="n">
        <v>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M431" t="n">
        <v>0</v>
      </c>
    </row>
    <row r="432">
      <c r="A432" t="inlineStr">
        <is>
          <t>STEAK 'N SHAKE</t>
        </is>
      </c>
      <c r="B432" t="n">
        <v>3183137.31</v>
      </c>
      <c r="C432" t="n">
        <v>0</v>
      </c>
      <c r="D432" t="n">
        <v>929688</v>
      </c>
      <c r="E432" t="n">
        <v>1</v>
      </c>
      <c r="F432" t="n">
        <v>0</v>
      </c>
      <c r="G432" t="n">
        <v>0.1</v>
      </c>
      <c r="H432" t="n">
        <v>0</v>
      </c>
      <c r="I432" t="n">
        <v>0</v>
      </c>
      <c r="M432" t="n">
        <v>1</v>
      </c>
    </row>
    <row r="433">
      <c r="A433" t="inlineStr">
        <is>
          <t>STONERIDGE RANCH</t>
        </is>
      </c>
      <c r="B433" t="n">
        <v>778198.9399999999</v>
      </c>
      <c r="C433" t="n">
        <v>0</v>
      </c>
      <c r="D433" t="n">
        <v>78155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M433" t="n">
        <v>1</v>
      </c>
    </row>
    <row r="434">
      <c r="A434" t="inlineStr">
        <is>
          <t>STONEWALL KITCHEN</t>
        </is>
      </c>
      <c r="B434" t="n">
        <v>0</v>
      </c>
      <c r="C434" t="n">
        <v>905.5280389960008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M434" t="n">
        <v>1</v>
      </c>
    </row>
    <row r="435">
      <c r="A435" t="inlineStr">
        <is>
          <t>STOUFFER'S</t>
        </is>
      </c>
      <c r="B435" t="n">
        <v>0</v>
      </c>
      <c r="C435" t="n">
        <v>11768.999986301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0.1</v>
      </c>
      <c r="M435" t="n">
        <v>1</v>
      </c>
    </row>
    <row r="436">
      <c r="A436" t="inlineStr">
        <is>
          <t>STRAIGHT FROM FRANCE</t>
        </is>
      </c>
      <c r="B436" t="n">
        <v>9044.190000000001</v>
      </c>
      <c r="C436" t="n">
        <v>0</v>
      </c>
      <c r="D436" t="n">
        <v>721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M436" t="n">
        <v>1</v>
      </c>
    </row>
    <row r="437">
      <c r="A437" t="inlineStr">
        <is>
          <t>STREIT</t>
        </is>
      </c>
      <c r="B437" t="n">
        <v>274.56</v>
      </c>
      <c r="C437" t="n">
        <v>0</v>
      </c>
      <c r="D437" t="n">
        <v>96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M437" t="n">
        <v>1</v>
      </c>
    </row>
    <row r="438">
      <c r="A438" t="inlineStr">
        <is>
          <t>SUBWAY</t>
        </is>
      </c>
      <c r="B438" t="n">
        <v>4996074.91</v>
      </c>
      <c r="C438" t="n">
        <v>26370.219824124</v>
      </c>
      <c r="D438" t="n">
        <v>1281937</v>
      </c>
      <c r="E438" t="n">
        <v>0</v>
      </c>
      <c r="F438" t="n">
        <v>0</v>
      </c>
      <c r="G438" t="n">
        <v>0.1</v>
      </c>
      <c r="H438" t="n">
        <v>0.1</v>
      </c>
      <c r="I438" t="n">
        <v>0.1</v>
      </c>
      <c r="M438" t="n">
        <v>0</v>
      </c>
    </row>
    <row r="439">
      <c r="A439" t="inlineStr">
        <is>
          <t>SUNNY SEA</t>
        </is>
      </c>
      <c r="B439" t="n">
        <v>26.81</v>
      </c>
      <c r="C439" t="n">
        <v>0</v>
      </c>
      <c r="D439" t="n">
        <v>14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M439" t="n">
        <v>1</v>
      </c>
    </row>
    <row r="440">
      <c r="A440" t="inlineStr">
        <is>
          <t>SUNSET FARM FOODS</t>
        </is>
      </c>
      <c r="B440" t="n">
        <v>3784.2</v>
      </c>
      <c r="C440" t="n">
        <v>0</v>
      </c>
      <c r="D440" t="n">
        <v>1060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M440" t="n">
        <v>1</v>
      </c>
    </row>
    <row r="441">
      <c r="A441" t="inlineStr">
        <is>
          <t>SUPER LUCKY ELEPHANT</t>
        </is>
      </c>
      <c r="B441" t="n">
        <v>2.18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M441" t="n">
        <v>1</v>
      </c>
    </row>
    <row r="442">
      <c r="A442" t="inlineStr">
        <is>
          <t>SWANSON</t>
        </is>
      </c>
      <c r="B442" t="n">
        <v>14139660.04</v>
      </c>
      <c r="C442" t="n">
        <v>72466.30130231901</v>
      </c>
      <c r="D442" t="n">
        <v>2989358</v>
      </c>
      <c r="E442" t="n">
        <v>0</v>
      </c>
      <c r="F442" t="n">
        <v>0</v>
      </c>
      <c r="G442" t="n">
        <v>0.3</v>
      </c>
      <c r="H442" t="n">
        <v>0.1</v>
      </c>
      <c r="I442" t="n">
        <v>0.4</v>
      </c>
      <c r="M442" t="n">
        <v>0</v>
      </c>
    </row>
    <row r="443">
      <c r="A443" t="inlineStr">
        <is>
          <t>SWANSON TOOL COMPANY</t>
        </is>
      </c>
      <c r="B443" t="n">
        <v>117997061.5191667</v>
      </c>
      <c r="C443" t="n">
        <v>929369.9198461781</v>
      </c>
      <c r="D443" t="n">
        <v>26930420</v>
      </c>
      <c r="E443" t="n">
        <v>0</v>
      </c>
      <c r="F443" t="n">
        <v>0</v>
      </c>
      <c r="G443" t="n">
        <v>2.3</v>
      </c>
      <c r="H443" t="n">
        <v>1.2</v>
      </c>
      <c r="I443" t="n">
        <v>5</v>
      </c>
      <c r="M443" t="n">
        <v>0</v>
      </c>
    </row>
    <row r="444">
      <c r="A444" t="inlineStr">
        <is>
          <t>SWEET BABY RAY'S</t>
        </is>
      </c>
      <c r="B444" t="n">
        <v>7.77</v>
      </c>
      <c r="C444" t="n">
        <v>0</v>
      </c>
      <c r="D444" t="n">
        <v>4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M444" t="n">
        <v>1</v>
      </c>
    </row>
    <row r="445">
      <c r="A445" t="inlineStr">
        <is>
          <t>SWEET SUE</t>
        </is>
      </c>
      <c r="B445" t="n">
        <v>3317769.985</v>
      </c>
      <c r="C445" t="n">
        <v>0</v>
      </c>
      <c r="D445" t="n">
        <v>884685</v>
      </c>
      <c r="E445" t="n">
        <v>1</v>
      </c>
      <c r="F445" t="n">
        <v>0</v>
      </c>
      <c r="G445" t="n">
        <v>0.1</v>
      </c>
      <c r="H445" t="n">
        <v>0</v>
      </c>
      <c r="I445" t="n">
        <v>0</v>
      </c>
      <c r="M445" t="n">
        <v>1</v>
      </c>
    </row>
    <row r="446">
      <c r="A446" t="inlineStr">
        <is>
          <t>T'AAMTI</t>
        </is>
      </c>
      <c r="B446" t="n">
        <v>582.24</v>
      </c>
      <c r="C446" t="n">
        <v>0</v>
      </c>
      <c r="D446" t="n">
        <v>120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M446" t="n">
        <v>1</v>
      </c>
    </row>
    <row r="447">
      <c r="A447" t="inlineStr">
        <is>
          <t>TACO BELL</t>
        </is>
      </c>
      <c r="B447" t="n">
        <v>22.5</v>
      </c>
      <c r="C447" t="n">
        <v>0</v>
      </c>
      <c r="D447" t="n">
        <v>7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M447" t="n">
        <v>1</v>
      </c>
    </row>
    <row r="448">
      <c r="A448" t="inlineStr">
        <is>
          <t>TAMALES</t>
        </is>
      </c>
      <c r="B448" t="n">
        <v>17.88</v>
      </c>
      <c r="C448" t="n">
        <v>0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M448" t="n">
        <v>1</v>
      </c>
    </row>
    <row r="449">
      <c r="A449" t="inlineStr">
        <is>
          <t>TAPATIO</t>
        </is>
      </c>
      <c r="B449" t="n">
        <v>113828.92</v>
      </c>
      <c r="C449" t="n">
        <v>0</v>
      </c>
      <c r="D449" t="n">
        <v>101910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M449" t="n">
        <v>1</v>
      </c>
    </row>
    <row r="450">
      <c r="A450" t="inlineStr">
        <is>
          <t>TASTE OF PORTUGAL</t>
        </is>
      </c>
      <c r="B450" t="n">
        <v>1276.14</v>
      </c>
      <c r="C450" t="n">
        <v>0</v>
      </c>
      <c r="D450" t="n">
        <v>670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M450" t="n">
        <v>1</v>
      </c>
    </row>
    <row r="451">
      <c r="A451" t="inlineStr">
        <is>
          <t>TASTEE CHOICE</t>
        </is>
      </c>
      <c r="B451" t="n">
        <v>37312.99</v>
      </c>
      <c r="C451" t="n">
        <v>0</v>
      </c>
      <c r="D451" t="n">
        <v>5094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M451" t="n">
        <v>1</v>
      </c>
    </row>
    <row r="452">
      <c r="A452" t="inlineStr">
        <is>
          <t>TASTY BITE</t>
        </is>
      </c>
      <c r="B452" t="n">
        <v>634729.34</v>
      </c>
      <c r="C452" t="n">
        <v>93232.34942782401</v>
      </c>
      <c r="D452" t="n">
        <v>177190</v>
      </c>
      <c r="E452" t="n">
        <v>0</v>
      </c>
      <c r="F452" t="n">
        <v>0</v>
      </c>
      <c r="G452" t="n">
        <v>0</v>
      </c>
      <c r="H452" t="n">
        <v>0</v>
      </c>
      <c r="I452" t="n">
        <v>0.5</v>
      </c>
      <c r="L452" t="n">
        <v>3</v>
      </c>
      <c r="M452" t="n">
        <v>0</v>
      </c>
    </row>
    <row r="453">
      <c r="A453" t="inlineStr">
        <is>
          <t>TATA RAASA</t>
        </is>
      </c>
      <c r="B453" t="n">
        <v>18143.63</v>
      </c>
      <c r="C453" t="n">
        <v>0</v>
      </c>
      <c r="D453" t="n">
        <v>5053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M453" t="n">
        <v>1</v>
      </c>
    </row>
    <row r="454">
      <c r="A454" t="inlineStr">
        <is>
          <t>TATER KEGS</t>
        </is>
      </c>
      <c r="B454" t="n">
        <v>6558641.41</v>
      </c>
      <c r="C454" t="n">
        <v>0</v>
      </c>
      <c r="D454" t="n">
        <v>2622339</v>
      </c>
      <c r="E454" t="n">
        <v>1</v>
      </c>
      <c r="F454" t="n">
        <v>0</v>
      </c>
      <c r="G454" t="n">
        <v>0.1</v>
      </c>
      <c r="H454" t="n">
        <v>0.1</v>
      </c>
      <c r="I454" t="n">
        <v>0</v>
      </c>
      <c r="M454" t="n">
        <v>1</v>
      </c>
    </row>
    <row r="455">
      <c r="A455" t="inlineStr">
        <is>
          <t>TAYLOR FARMS</t>
        </is>
      </c>
      <c r="B455" t="n">
        <v>3.38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M455" t="n">
        <v>1</v>
      </c>
    </row>
    <row r="456">
      <c r="A456" t="inlineStr">
        <is>
          <t>TERRA VERDA</t>
        </is>
      </c>
      <c r="B456" t="n">
        <v>12.41</v>
      </c>
      <c r="C456" t="n">
        <v>0</v>
      </c>
      <c r="D456" t="n">
        <v>6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M456" t="n">
        <v>1</v>
      </c>
    </row>
    <row r="457">
      <c r="A457" t="inlineStr">
        <is>
          <t>TETA FOODS</t>
        </is>
      </c>
      <c r="B457" t="n">
        <v>656.6</v>
      </c>
      <c r="C457" t="n">
        <v>0</v>
      </c>
      <c r="D457" t="n">
        <v>11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M457" t="n">
        <v>1</v>
      </c>
    </row>
    <row r="458">
      <c r="A458" t="inlineStr">
        <is>
          <t>TEXAS ROADHOUSE</t>
        </is>
      </c>
      <c r="B458" t="n">
        <v>1280708.32</v>
      </c>
      <c r="C458" t="n">
        <v>0</v>
      </c>
      <c r="D458" t="n">
        <v>367982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M458" t="n">
        <v>1</v>
      </c>
    </row>
    <row r="459">
      <c r="A459" t="inlineStr">
        <is>
          <t>TEXAS TAILGATE</t>
        </is>
      </c>
      <c r="B459" t="n">
        <v>1887990.27</v>
      </c>
      <c r="C459" t="n">
        <v>0</v>
      </c>
      <c r="D459" t="n">
        <v>1627825</v>
      </c>
      <c r="E459" t="n">
        <v>1</v>
      </c>
      <c r="F459" t="n">
        <v>0</v>
      </c>
      <c r="G459" t="n">
        <v>0</v>
      </c>
      <c r="H459" t="n">
        <v>0.1</v>
      </c>
      <c r="I459" t="n">
        <v>0</v>
      </c>
      <c r="M459" t="n">
        <v>1</v>
      </c>
    </row>
    <row r="460">
      <c r="A460" t="inlineStr">
        <is>
          <t>TEXAS TAMALE COMPANY</t>
        </is>
      </c>
      <c r="B460" t="n">
        <v>641288.12</v>
      </c>
      <c r="C460" t="n">
        <v>3638.360000267001</v>
      </c>
      <c r="D460" t="n">
        <v>75102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M460" t="n">
        <v>0</v>
      </c>
    </row>
    <row r="461">
      <c r="A461" t="inlineStr">
        <is>
          <t>THE AUTHENTIC NEW MEXICAN</t>
        </is>
      </c>
      <c r="B461" t="n">
        <v>1305.84</v>
      </c>
      <c r="C461" t="n">
        <v>0</v>
      </c>
      <c r="D461" t="n">
        <v>110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M461" t="n">
        <v>1</v>
      </c>
    </row>
    <row r="462">
      <c r="A462" t="inlineStr">
        <is>
          <t>THE GOOD BEAN</t>
        </is>
      </c>
      <c r="B462" t="n">
        <v>23.84</v>
      </c>
      <c r="C462" t="n">
        <v>0</v>
      </c>
      <c r="D462" t="n">
        <v>8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M462" t="n">
        <v>1</v>
      </c>
    </row>
    <row r="463">
      <c r="A463" t="inlineStr">
        <is>
          <t>TOMBSTONE</t>
        </is>
      </c>
      <c r="B463" t="n">
        <v>0.68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M463" t="n">
        <v>1</v>
      </c>
    </row>
    <row r="464">
      <c r="A464" t="inlineStr">
        <is>
          <t>TONNINO</t>
        </is>
      </c>
      <c r="B464" t="n">
        <v>11717394.21128472</v>
      </c>
      <c r="C464" t="n">
        <v>229285.638166287</v>
      </c>
      <c r="D464" t="n">
        <v>3079605</v>
      </c>
      <c r="E464" t="n">
        <v>0</v>
      </c>
      <c r="F464" t="n">
        <v>0</v>
      </c>
      <c r="G464" t="n">
        <v>0.2</v>
      </c>
      <c r="H464" t="n">
        <v>0.1</v>
      </c>
      <c r="I464" t="n">
        <v>1.2</v>
      </c>
      <c r="M464" t="n">
        <v>0</v>
      </c>
    </row>
    <row r="465">
      <c r="A465" t="inlineStr">
        <is>
          <t>TONY CHACHERE'S</t>
        </is>
      </c>
      <c r="B465" t="n">
        <v>4626.69</v>
      </c>
      <c r="C465" t="n">
        <v>0</v>
      </c>
      <c r="D465" t="n">
        <v>141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M465" t="n">
        <v>1</v>
      </c>
    </row>
    <row r="466">
      <c r="A466" t="inlineStr">
        <is>
          <t>TONY PACKO'S</t>
        </is>
      </c>
      <c r="B466" t="n">
        <v>254389.55</v>
      </c>
      <c r="C466" t="n">
        <v>0</v>
      </c>
      <c r="D466" t="n">
        <v>96899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M466" t="n">
        <v>1</v>
      </c>
    </row>
    <row r="467">
      <c r="A467" t="inlineStr">
        <is>
          <t>TONY'S TAMALES</t>
        </is>
      </c>
      <c r="B467" t="n">
        <v>2328.8</v>
      </c>
      <c r="C467" t="n">
        <v>0</v>
      </c>
      <c r="D467" t="n">
        <v>355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M467" t="n">
        <v>1</v>
      </c>
    </row>
    <row r="468">
      <c r="A468" t="inlineStr">
        <is>
          <t>TONYS TAMALES</t>
        </is>
      </c>
      <c r="B468" t="n">
        <v>18483.78</v>
      </c>
      <c r="C468" t="n">
        <v>0</v>
      </c>
      <c r="D468" t="n">
        <v>2818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M468" t="n">
        <v>1</v>
      </c>
    </row>
    <row r="469">
      <c r="A469" t="inlineStr">
        <is>
          <t>TRIDENT SEAFOOD</t>
        </is>
      </c>
      <c r="B469" t="n">
        <v>326589.51</v>
      </c>
      <c r="C469" t="n">
        <v>0</v>
      </c>
      <c r="D469" t="n">
        <v>68030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M469" t="n">
        <v>1</v>
      </c>
    </row>
    <row r="470">
      <c r="A470" t="inlineStr">
        <is>
          <t>TRIDENT SEAFOODS</t>
        </is>
      </c>
      <c r="B470" t="n">
        <v>10284446</v>
      </c>
      <c r="C470" t="n">
        <v>23818.364669861</v>
      </c>
      <c r="D470" t="n">
        <v>2369317</v>
      </c>
      <c r="E470" t="n">
        <v>0</v>
      </c>
      <c r="F470" t="n">
        <v>0</v>
      </c>
      <c r="G470" t="n">
        <v>0.2</v>
      </c>
      <c r="H470" t="n">
        <v>0.1</v>
      </c>
      <c r="I470" t="n">
        <v>0.1</v>
      </c>
      <c r="M470" t="n">
        <v>0</v>
      </c>
    </row>
    <row r="471">
      <c r="A471" t="inlineStr">
        <is>
          <t>TROPICS</t>
        </is>
      </c>
      <c r="B471" t="n">
        <v>4051.08</v>
      </c>
      <c r="C471" t="n">
        <v>0</v>
      </c>
      <c r="D471" t="n">
        <v>2046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M471" t="n">
        <v>1</v>
      </c>
    </row>
    <row r="472">
      <c r="A472" t="inlineStr">
        <is>
          <t>TRUROOTS</t>
        </is>
      </c>
      <c r="B472" t="n">
        <v>-2.99</v>
      </c>
      <c r="C472" t="n">
        <v>0</v>
      </c>
      <c r="D472" t="n">
        <v>-1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M472" t="n">
        <v>1</v>
      </c>
    </row>
    <row r="473">
      <c r="A473" t="inlineStr">
        <is>
          <t>TULIP</t>
        </is>
      </c>
      <c r="B473" t="n">
        <v>8906895.15</v>
      </c>
      <c r="C473" t="n">
        <v>0</v>
      </c>
      <c r="D473" t="n">
        <v>3348522</v>
      </c>
      <c r="E473" t="n">
        <v>1</v>
      </c>
      <c r="F473" t="n">
        <v>0</v>
      </c>
      <c r="G473" t="n">
        <v>0.2</v>
      </c>
      <c r="H473" t="n">
        <v>0.1</v>
      </c>
      <c r="I473" t="n">
        <v>0</v>
      </c>
      <c r="M473" t="n">
        <v>1</v>
      </c>
    </row>
    <row r="474">
      <c r="A474" t="inlineStr">
        <is>
          <t>TUNA HELPER</t>
        </is>
      </c>
      <c r="B474" t="n">
        <v>2.94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M474" t="n">
        <v>1</v>
      </c>
    </row>
    <row r="475">
      <c r="A475" t="inlineStr">
        <is>
          <t>TWISTD</t>
        </is>
      </c>
      <c r="B475" t="n">
        <v>298.29</v>
      </c>
      <c r="C475" t="n">
        <v>0</v>
      </c>
      <c r="D475" t="n">
        <v>311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M475" t="n">
        <v>1</v>
      </c>
    </row>
    <row r="476">
      <c r="A476" t="inlineStr">
        <is>
          <t>TYSON</t>
        </is>
      </c>
      <c r="B476" t="n">
        <v>16207539.93083333</v>
      </c>
      <c r="C476" t="n">
        <v>4941.651561575</v>
      </c>
      <c r="D476" t="n">
        <v>4700090</v>
      </c>
      <c r="E476" t="n">
        <v>0</v>
      </c>
      <c r="F476" t="n">
        <v>0</v>
      </c>
      <c r="G476" t="n">
        <v>0.3</v>
      </c>
      <c r="H476" t="n">
        <v>0.2</v>
      </c>
      <c r="I476" t="n">
        <v>0</v>
      </c>
      <c r="L476" t="n">
        <v>5</v>
      </c>
      <c r="M476" t="n">
        <v>0</v>
      </c>
    </row>
    <row r="477">
      <c r="A477" t="inlineStr">
        <is>
          <t>TYSON FOODS</t>
        </is>
      </c>
      <c r="B477" t="n">
        <v>1133967.445000001</v>
      </c>
      <c r="C477" t="n">
        <v>240.543309584</v>
      </c>
      <c r="D477" t="n">
        <v>368957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L477" t="n">
        <v>5</v>
      </c>
      <c r="M477" t="n">
        <v>0</v>
      </c>
    </row>
    <row r="478">
      <c r="A478" t="inlineStr">
        <is>
          <t>UNBRANDED</t>
        </is>
      </c>
      <c r="B478" t="n">
        <v>1292.39</v>
      </c>
      <c r="C478" t="n">
        <v>0</v>
      </c>
      <c r="D478" t="n">
        <v>497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K478" t="n">
        <v>1</v>
      </c>
      <c r="M478" t="n">
        <v>1</v>
      </c>
    </row>
    <row r="479">
      <c r="A479" t="inlineStr">
        <is>
          <t>UNCLE BEN'S</t>
        </is>
      </c>
      <c r="B479" t="n">
        <v>-3.96</v>
      </c>
      <c r="C479" t="n">
        <v>0</v>
      </c>
      <c r="D479" t="n">
        <v>-1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L479" t="n">
        <v>3</v>
      </c>
      <c r="M479" t="n">
        <v>0</v>
      </c>
    </row>
    <row r="480">
      <c r="A480" t="inlineStr">
        <is>
          <t>UNDERWOOD</t>
        </is>
      </c>
      <c r="B480" t="n">
        <v>35279322.76499999</v>
      </c>
      <c r="C480" t="n">
        <v>0</v>
      </c>
      <c r="D480" t="n">
        <v>13599464</v>
      </c>
      <c r="E480" t="n">
        <v>1</v>
      </c>
      <c r="F480" t="n">
        <v>0</v>
      </c>
      <c r="G480" t="n">
        <v>0.7</v>
      </c>
      <c r="H480" t="n">
        <v>0.6</v>
      </c>
      <c r="I480" t="n">
        <v>0</v>
      </c>
      <c r="M480" t="n">
        <v>1</v>
      </c>
    </row>
    <row r="481">
      <c r="A481" t="inlineStr">
        <is>
          <t>UNILEVER</t>
        </is>
      </c>
      <c r="B481" t="n">
        <v>0</v>
      </c>
      <c r="C481" t="n">
        <v>70.44000187900001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M481" t="n">
        <v>1</v>
      </c>
    </row>
    <row r="482">
      <c r="A482" t="inlineStr">
        <is>
          <t>UPTON'S NATURALS</t>
        </is>
      </c>
      <c r="B482" t="n">
        <v>48832.12</v>
      </c>
      <c r="C482" t="n">
        <v>0</v>
      </c>
      <c r="D482" t="n">
        <v>11038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M482" t="n">
        <v>1</v>
      </c>
    </row>
    <row r="483">
      <c r="A483" t="inlineStr">
        <is>
          <t>VALLEY FRESH</t>
        </is>
      </c>
      <c r="B483" t="n">
        <v>12851909.295</v>
      </c>
      <c r="C483" t="n">
        <v>14778.419882957</v>
      </c>
      <c r="D483" t="n">
        <v>4864778</v>
      </c>
      <c r="E483" t="n">
        <v>0</v>
      </c>
      <c r="F483" t="n">
        <v>0</v>
      </c>
      <c r="G483" t="n">
        <v>0.2</v>
      </c>
      <c r="H483" t="n">
        <v>0.2</v>
      </c>
      <c r="I483" t="n">
        <v>0.1</v>
      </c>
      <c r="M483" t="n">
        <v>0</v>
      </c>
    </row>
    <row r="484">
      <c r="A484" t="inlineStr">
        <is>
          <t>VAN CAMP'S</t>
        </is>
      </c>
      <c r="B484" t="n">
        <v>6236493.260000001</v>
      </c>
      <c r="C484" t="n">
        <v>903.2500056410003</v>
      </c>
      <c r="D484" t="n">
        <v>3388265</v>
      </c>
      <c r="E484" t="n">
        <v>0</v>
      </c>
      <c r="F484" t="n">
        <v>0</v>
      </c>
      <c r="G484" t="n">
        <v>0.1</v>
      </c>
      <c r="H484" t="n">
        <v>0.1</v>
      </c>
      <c r="I484" t="n">
        <v>0</v>
      </c>
      <c r="M484" t="n">
        <v>0</v>
      </c>
    </row>
    <row r="485">
      <c r="A485" t="inlineStr">
        <is>
          <t>VAN ECUADOR</t>
        </is>
      </c>
      <c r="B485" t="n">
        <v>313782.81</v>
      </c>
      <c r="C485" t="n">
        <v>0</v>
      </c>
      <c r="D485" t="n">
        <v>133004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M485" t="n">
        <v>1</v>
      </c>
    </row>
    <row r="486">
      <c r="A486" t="inlineStr">
        <is>
          <t>VAN ECUADOR TUNA IN OIL 4PK 3 OZ</t>
        </is>
      </c>
      <c r="B486" t="n">
        <v>7014.04</v>
      </c>
      <c r="C486" t="n">
        <v>0</v>
      </c>
      <c r="D486" t="n">
        <v>1214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M486" t="n">
        <v>1</v>
      </c>
    </row>
    <row r="487">
      <c r="A487" t="inlineStr">
        <is>
          <t>VAN O TONNO</t>
        </is>
      </c>
      <c r="B487" t="n">
        <v>43554.25</v>
      </c>
      <c r="C487" t="n">
        <v>0</v>
      </c>
      <c r="D487" t="n">
        <v>22159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M487" t="n">
        <v>1</v>
      </c>
    </row>
    <row r="488">
      <c r="A488" t="inlineStr">
        <is>
          <t>VEGGIECRAFT FARMS</t>
        </is>
      </c>
      <c r="B488" t="n">
        <v>98.18000000000001</v>
      </c>
      <c r="C488" t="n">
        <v>0</v>
      </c>
      <c r="D488" t="n">
        <v>59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M488" t="n">
        <v>1</v>
      </c>
    </row>
    <row r="489">
      <c r="A489" t="inlineStr">
        <is>
          <t>VERY VEGGIE</t>
        </is>
      </c>
      <c r="B489" t="n">
        <v>0.5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M489" t="n">
        <v>1</v>
      </c>
    </row>
    <row r="490">
      <c r="A490" t="inlineStr">
        <is>
          <t>VIETTI</t>
        </is>
      </c>
      <c r="B490" t="n">
        <v>2567089.62</v>
      </c>
      <c r="C490" t="n">
        <v>9843.040121381997</v>
      </c>
      <c r="D490" t="n">
        <v>1411739</v>
      </c>
      <c r="E490" t="n">
        <v>0</v>
      </c>
      <c r="F490" t="n">
        <v>0</v>
      </c>
      <c r="G490" t="n">
        <v>0</v>
      </c>
      <c r="H490" t="n">
        <v>0.1</v>
      </c>
      <c r="I490" t="n">
        <v>0.1</v>
      </c>
      <c r="M490" t="n">
        <v>0</v>
      </c>
    </row>
    <row r="491">
      <c r="A491" t="inlineStr">
        <is>
          <t>VIFON</t>
        </is>
      </c>
      <c r="B491" t="n">
        <v>2.3</v>
      </c>
      <c r="C491" t="n">
        <v>0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M491" t="n">
        <v>1</v>
      </c>
    </row>
    <row r="492">
      <c r="A492" t="inlineStr">
        <is>
          <t>VIGO</t>
        </is>
      </c>
      <c r="B492" t="n">
        <v>50070.02</v>
      </c>
      <c r="C492" t="n">
        <v>0</v>
      </c>
      <c r="D492" t="n">
        <v>19385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L492" t="n">
        <v>3</v>
      </c>
      <c r="M492" t="n">
        <v>0</v>
      </c>
    </row>
    <row r="493">
      <c r="A493" t="inlineStr">
        <is>
          <t>VIGO FOODS</t>
        </is>
      </c>
      <c r="B493" t="n">
        <v>4472758.52</v>
      </c>
      <c r="C493" t="n">
        <v>426.2400027020003</v>
      </c>
      <c r="D493" t="n">
        <v>1839483</v>
      </c>
      <c r="E493" t="n">
        <v>0</v>
      </c>
      <c r="F493" t="n">
        <v>0</v>
      </c>
      <c r="G493" t="n">
        <v>0.1</v>
      </c>
      <c r="H493" t="n">
        <v>0.1</v>
      </c>
      <c r="I493" t="n">
        <v>0</v>
      </c>
      <c r="M493" t="n">
        <v>0</v>
      </c>
    </row>
    <row r="494">
      <c r="A494" t="inlineStr">
        <is>
          <t>VIGO INDUSTRIES</t>
        </is>
      </c>
      <c r="B494" t="n">
        <v>288.31</v>
      </c>
      <c r="C494" t="n">
        <v>0</v>
      </c>
      <c r="D494" t="n">
        <v>13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M494" t="n">
        <v>1</v>
      </c>
    </row>
    <row r="495">
      <c r="A495" t="inlineStr">
        <is>
          <t>VITA</t>
        </is>
      </c>
      <c r="B495" t="n">
        <v>-7.98</v>
      </c>
      <c r="C495" t="n">
        <v>0</v>
      </c>
      <c r="D495" t="n">
        <v>-1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M495" t="n">
        <v>1</v>
      </c>
    </row>
    <row r="496">
      <c r="A496" t="inlineStr">
        <is>
          <t>VITAL FARMS</t>
        </is>
      </c>
      <c r="B496" t="n">
        <v>-4.98</v>
      </c>
      <c r="C496" t="n">
        <v>0</v>
      </c>
      <c r="D496" t="n">
        <v>-1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M496" t="n">
        <v>1</v>
      </c>
    </row>
    <row r="497">
      <c r="A497" t="inlineStr">
        <is>
          <t>VITARROZ</t>
        </is>
      </c>
      <c r="B497" t="n">
        <v>56.25</v>
      </c>
      <c r="C497" t="n">
        <v>0</v>
      </c>
      <c r="D497" t="n">
        <v>45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M497" t="n">
        <v>1</v>
      </c>
    </row>
    <row r="498">
      <c r="A498" t="inlineStr">
        <is>
          <t>VOYAGE FOODS</t>
        </is>
      </c>
      <c r="B498" t="n">
        <v>0</v>
      </c>
      <c r="C498" t="n">
        <v>153.899999579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M498" t="n">
        <v>1</v>
      </c>
    </row>
    <row r="499">
      <c r="A499" t="inlineStr">
        <is>
          <t>WAL-MART BAKERY</t>
        </is>
      </c>
      <c r="B499" t="n">
        <v>5.08</v>
      </c>
      <c r="C499" t="n">
        <v>0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M499" t="n">
        <v>1</v>
      </c>
    </row>
    <row r="500">
      <c r="A500" t="inlineStr">
        <is>
          <t>WELCH'S</t>
        </is>
      </c>
      <c r="B500" t="n">
        <v>42.41</v>
      </c>
      <c r="C500" t="n">
        <v>2995.554779256001</v>
      </c>
      <c r="D500" t="n">
        <v>12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M500" t="n">
        <v>0</v>
      </c>
    </row>
    <row r="501">
      <c r="A501" t="inlineStr">
        <is>
          <t>WENDY'S</t>
        </is>
      </c>
      <c r="B501" t="n">
        <v>27904228.31000002</v>
      </c>
      <c r="C501" t="n">
        <v>549937.354400453</v>
      </c>
      <c r="D501" t="n">
        <v>6234169.7</v>
      </c>
      <c r="E501" t="n">
        <v>0</v>
      </c>
      <c r="F501" t="n">
        <v>0</v>
      </c>
      <c r="G501" t="n">
        <v>0.5</v>
      </c>
      <c r="H501" t="n">
        <v>0.3</v>
      </c>
      <c r="I501" t="n">
        <v>3</v>
      </c>
      <c r="M501" t="n">
        <v>0</v>
      </c>
    </row>
    <row r="502">
      <c r="A502" t="inlineStr">
        <is>
          <t>WICKED KITCHEN</t>
        </is>
      </c>
      <c r="B502" t="n">
        <v>136317.53</v>
      </c>
      <c r="C502" t="n">
        <v>0</v>
      </c>
      <c r="D502" t="n">
        <v>45926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M502" t="n">
        <v>1</v>
      </c>
    </row>
    <row r="503">
      <c r="A503" t="inlineStr">
        <is>
          <t>WILD PLANET</t>
        </is>
      </c>
      <c r="B503" t="n">
        <v>27902014.31000001</v>
      </c>
      <c r="C503" t="n">
        <v>735727.261289676</v>
      </c>
      <c r="D503" t="n">
        <v>7241328</v>
      </c>
      <c r="E503" t="n">
        <v>0</v>
      </c>
      <c r="F503" t="n">
        <v>0</v>
      </c>
      <c r="G503" t="n">
        <v>0.5</v>
      </c>
      <c r="H503" t="n">
        <v>0.3</v>
      </c>
      <c r="I503" t="n">
        <v>4</v>
      </c>
      <c r="M503" t="n">
        <v>0</v>
      </c>
    </row>
    <row r="504">
      <c r="A504" t="inlineStr">
        <is>
          <t>WILD SELECTIONS</t>
        </is>
      </c>
      <c r="B504" t="n">
        <v>45.36</v>
      </c>
      <c r="C504" t="n">
        <v>0</v>
      </c>
      <c r="D504" t="n">
        <v>19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M504" t="n">
        <v>1</v>
      </c>
    </row>
    <row r="505">
      <c r="A505" t="inlineStr">
        <is>
          <t>WOLF</t>
        </is>
      </c>
      <c r="B505" t="n">
        <v>1329658.66</v>
      </c>
      <c r="C505" t="n">
        <v>0</v>
      </c>
      <c r="D505" t="n">
        <v>510645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M505" t="n">
        <v>1</v>
      </c>
    </row>
    <row r="506">
      <c r="A506" t="inlineStr">
        <is>
          <t>WOLFF'S</t>
        </is>
      </c>
      <c r="B506" t="n">
        <v>341.12</v>
      </c>
      <c r="C506" t="n">
        <v>0</v>
      </c>
      <c r="D506" t="n">
        <v>82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M506" t="n">
        <v>1</v>
      </c>
    </row>
    <row r="507">
      <c r="A507" t="inlineStr">
        <is>
          <t>WOODWARD AVE</t>
        </is>
      </c>
      <c r="B507" t="n">
        <v>370544.399999996</v>
      </c>
      <c r="C507" t="n">
        <v>0</v>
      </c>
      <c r="D507" t="n">
        <v>147683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M507" t="n">
        <v>1</v>
      </c>
    </row>
    <row r="508">
      <c r="A508" t="inlineStr">
        <is>
          <t>WORTHMORE</t>
        </is>
      </c>
      <c r="B508" t="n">
        <v>3091.92</v>
      </c>
      <c r="C508" t="n">
        <v>0</v>
      </c>
      <c r="D508" t="n">
        <v>991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M508" t="n">
        <v>1</v>
      </c>
    </row>
    <row r="509">
      <c r="A509" t="inlineStr">
        <is>
          <t>YEHUDA</t>
        </is>
      </c>
      <c r="B509" t="n">
        <v>5578.92</v>
      </c>
      <c r="C509" t="n">
        <v>0</v>
      </c>
      <c r="D509" t="n">
        <v>582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M509" t="n">
        <v>1</v>
      </c>
    </row>
    <row r="510">
      <c r="A510" t="inlineStr">
        <is>
          <t>YELLOWSTONE</t>
        </is>
      </c>
      <c r="B510" t="n">
        <v>9001621.470000001</v>
      </c>
      <c r="C510" t="n">
        <v>45373.78122579299</v>
      </c>
      <c r="D510" t="n">
        <v>2845864</v>
      </c>
      <c r="E510" t="n">
        <v>0</v>
      </c>
      <c r="F510" t="n">
        <v>0</v>
      </c>
      <c r="G510" t="n">
        <v>0.2</v>
      </c>
      <c r="H510" t="n">
        <v>0.1</v>
      </c>
      <c r="I510" t="n">
        <v>0.2</v>
      </c>
      <c r="M510" t="n">
        <v>0</v>
      </c>
    </row>
    <row r="511">
      <c r="A511" t="inlineStr">
        <is>
          <t>YODER'S</t>
        </is>
      </c>
      <c r="B511" t="n">
        <v>53555.96</v>
      </c>
      <c r="C511" t="n">
        <v>161.859320491</v>
      </c>
      <c r="D511" t="n">
        <v>31988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M511" t="n">
        <v>0</v>
      </c>
    </row>
    <row r="512">
      <c r="A512" t="inlineStr">
        <is>
          <t>YUMMY</t>
        </is>
      </c>
      <c r="B512" t="n">
        <v>131.49</v>
      </c>
      <c r="C512" t="n">
        <v>0</v>
      </c>
      <c r="D512" t="n">
        <v>27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M512" t="n">
        <v>1</v>
      </c>
    </row>
    <row r="513">
      <c r="A513" t="inlineStr">
        <is>
          <t>ZATARAIN'S</t>
        </is>
      </c>
      <c r="B513" t="n">
        <v>1636280.74</v>
      </c>
      <c r="C513" t="n">
        <v>113.799999677</v>
      </c>
      <c r="D513" t="n">
        <v>478683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M51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UNIQUE_BRAND_NAME</t>
        </is>
      </c>
      <c r="B1" s="33" t="inlineStr">
        <is>
          <t>Sum of O_SALE</t>
        </is>
      </c>
      <c r="C1" s="33" t="inlineStr">
        <is>
          <t>Sum of TOTAL_SPEND</t>
        </is>
      </c>
      <c r="D1" s="33" t="inlineStr">
        <is>
          <t>Sum of O_UNIT</t>
        </is>
      </c>
      <c r="E1" s="33" t="inlineStr">
        <is>
          <t>Max of Exclude_Flag</t>
        </is>
      </c>
      <c r="F1" s="33" t="inlineStr">
        <is>
          <t>Max of Combine_Flag</t>
        </is>
      </c>
      <c r="G1" s="33" t="inlineStr">
        <is>
          <t>Sales Share</t>
        </is>
      </c>
      <c r="H1" s="33" t="inlineStr">
        <is>
          <t>Unit Share</t>
        </is>
      </c>
      <c r="I1" s="33" t="inlineStr">
        <is>
          <t>Spend Share</t>
        </is>
      </c>
      <c r="J1" s="33" t="inlineStr">
        <is>
          <t>Private Brand</t>
        </is>
      </c>
      <c r="K1" s="33" t="inlineStr">
        <is>
          <t>Mapping Issue</t>
        </is>
      </c>
      <c r="L1" s="33" t="inlineStr">
        <is>
          <t>Combine Flag</t>
        </is>
      </c>
      <c r="M1" s="33" t="inlineStr">
        <is>
          <t>Exclude Flag</t>
        </is>
      </c>
    </row>
    <row r="2">
      <c r="A2" t="inlineStr">
        <is>
          <t>GRACE</t>
        </is>
      </c>
      <c r="B2" t="n">
        <v>109387.19</v>
      </c>
      <c r="C2" t="n">
        <v>327.599998586</v>
      </c>
      <c r="D2" t="n">
        <v>78623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1</v>
      </c>
      <c r="M2" t="n">
        <v>0</v>
      </c>
    </row>
    <row r="3">
      <c r="A3" t="inlineStr">
        <is>
          <t>GRACE FOODS</t>
        </is>
      </c>
      <c r="B3" t="n">
        <v>74870.95</v>
      </c>
      <c r="C3" t="n">
        <v>0.7599999909999999</v>
      </c>
      <c r="D3" t="n">
        <v>26479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1</v>
      </c>
      <c r="M3" t="n">
        <v>0</v>
      </c>
    </row>
    <row r="4">
      <c r="A4" t="inlineStr">
        <is>
          <t>CAMPBELLS HEALTHY REQUEST</t>
        </is>
      </c>
      <c r="B4" t="n">
        <v>7.920000000000001</v>
      </c>
      <c r="C4" t="n">
        <v>0</v>
      </c>
      <c r="D4" t="n">
        <v>4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2</v>
      </c>
      <c r="M4" t="n">
        <v>0</v>
      </c>
    </row>
    <row r="5">
      <c r="A5" t="inlineStr">
        <is>
          <t>CHUNKY</t>
        </is>
      </c>
      <c r="B5" t="n">
        <v>36199771.98</v>
      </c>
      <c r="C5" t="n">
        <v>145478.405084136</v>
      </c>
      <c r="D5" t="n">
        <v>13420461</v>
      </c>
      <c r="E5" t="n">
        <v>0</v>
      </c>
      <c r="F5" t="n">
        <v>0</v>
      </c>
      <c r="G5" t="n">
        <v>0.7</v>
      </c>
      <c r="H5" t="n">
        <v>0.6</v>
      </c>
      <c r="I5" t="n">
        <v>0.8</v>
      </c>
      <c r="J5" t="inlineStr"/>
      <c r="K5" t="inlineStr"/>
      <c r="L5" t="n">
        <v>2</v>
      </c>
      <c r="M5" t="n">
        <v>0</v>
      </c>
    </row>
    <row r="6">
      <c r="A6" t="inlineStr">
        <is>
          <t>PEPPERIDGE FARM</t>
        </is>
      </c>
      <c r="B6" t="n">
        <v>7.74</v>
      </c>
      <c r="C6" t="n">
        <v>0</v>
      </c>
      <c r="D6" t="n">
        <v>7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2</v>
      </c>
      <c r="M6" t="n">
        <v>0</v>
      </c>
    </row>
    <row r="7">
      <c r="A7" t="inlineStr">
        <is>
          <t>BEN'S ORIGINAL</t>
        </is>
      </c>
      <c r="B7" t="n">
        <v>3855654.71</v>
      </c>
      <c r="C7" t="n">
        <v>509014.963309533</v>
      </c>
      <c r="D7" t="n">
        <v>1160790</v>
      </c>
      <c r="E7" t="n">
        <v>0</v>
      </c>
      <c r="F7" t="n">
        <v>0</v>
      </c>
      <c r="G7" t="n">
        <v>0.1</v>
      </c>
      <c r="H7" t="n">
        <v>0.1</v>
      </c>
      <c r="I7" t="n">
        <v>2.8</v>
      </c>
      <c r="J7" t="inlineStr"/>
      <c r="K7" t="inlineStr"/>
      <c r="L7" t="n">
        <v>3</v>
      </c>
      <c r="M7" t="n">
        <v>0</v>
      </c>
    </row>
    <row r="8">
      <c r="A8" t="inlineStr">
        <is>
          <t>TASTY BITE</t>
        </is>
      </c>
      <c r="B8" t="n">
        <v>634729.34</v>
      </c>
      <c r="C8" t="n">
        <v>93232.34942782401</v>
      </c>
      <c r="D8" t="n">
        <v>177190</v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inlineStr"/>
      <c r="K8" t="inlineStr"/>
      <c r="L8" t="n">
        <v>3</v>
      </c>
      <c r="M8" t="n">
        <v>0</v>
      </c>
    </row>
    <row r="9">
      <c r="A9" t="inlineStr">
        <is>
          <t>UNCLE BEN'S</t>
        </is>
      </c>
      <c r="B9" t="n">
        <v>-3.96</v>
      </c>
      <c r="C9" t="n">
        <v>0</v>
      </c>
      <c r="D9" t="n">
        <v>-1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3</v>
      </c>
      <c r="M9" t="n">
        <v>0</v>
      </c>
    </row>
    <row r="10">
      <c r="A10" t="inlineStr">
        <is>
          <t>VIGO</t>
        </is>
      </c>
      <c r="B10" t="n">
        <v>50070.02</v>
      </c>
      <c r="C10" t="n">
        <v>0</v>
      </c>
      <c r="D10" t="n">
        <v>19385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3</v>
      </c>
      <c r="M10" t="n">
        <v>0</v>
      </c>
    </row>
    <row r="11">
      <c r="A11" t="inlineStr">
        <is>
          <t>AMY'S KITCHEN</t>
        </is>
      </c>
      <c r="B11" t="n">
        <v>7835997.210000005</v>
      </c>
      <c r="C11" t="n">
        <v>12187.950011893</v>
      </c>
      <c r="D11" t="n">
        <v>1998280</v>
      </c>
      <c r="E11" t="n">
        <v>0</v>
      </c>
      <c r="F11" t="n">
        <v>0</v>
      </c>
      <c r="G11" t="n">
        <v>0.1</v>
      </c>
      <c r="H11" t="n">
        <v>0.1</v>
      </c>
      <c r="I11" t="n">
        <v>0.1</v>
      </c>
      <c r="J11" t="inlineStr"/>
      <c r="K11" t="inlineStr"/>
      <c r="L11" t="n">
        <v>4</v>
      </c>
      <c r="M11" t="n">
        <v>0</v>
      </c>
    </row>
    <row r="12">
      <c r="A12" t="inlineStr">
        <is>
          <t>AMY'S KITCHEN, INC</t>
        </is>
      </c>
      <c r="B12" t="n">
        <v>82007.37</v>
      </c>
      <c r="C12" t="n">
        <v>2705.339999814</v>
      </c>
      <c r="D12" t="n">
        <v>21278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4</v>
      </c>
      <c r="M12" t="n">
        <v>0</v>
      </c>
    </row>
    <row r="13">
      <c r="A13" t="inlineStr">
        <is>
          <t>TYSON</t>
        </is>
      </c>
      <c r="B13" t="n">
        <v>16207539.93083333</v>
      </c>
      <c r="C13" t="n">
        <v>4941.651561575</v>
      </c>
      <c r="D13" t="n">
        <v>4700090</v>
      </c>
      <c r="E13" t="n">
        <v>0</v>
      </c>
      <c r="F13" t="n">
        <v>0</v>
      </c>
      <c r="G13" t="n">
        <v>0.3</v>
      </c>
      <c r="H13" t="n">
        <v>0.2</v>
      </c>
      <c r="I13" t="n">
        <v>0</v>
      </c>
      <c r="J13" t="inlineStr"/>
      <c r="K13" t="inlineStr"/>
      <c r="L13" t="n">
        <v>5</v>
      </c>
      <c r="M13" t="n">
        <v>0</v>
      </c>
    </row>
    <row r="14">
      <c r="A14" t="inlineStr">
        <is>
          <t>TYSON FOODS</t>
        </is>
      </c>
      <c r="B14" t="n">
        <v>1133967.445000001</v>
      </c>
      <c r="C14" t="n">
        <v>240.543309584</v>
      </c>
      <c r="D14" t="n">
        <v>368957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5</v>
      </c>
      <c r="M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UNIQUE_BRAND_NAME</t>
        </is>
      </c>
      <c r="B1" s="33" t="inlineStr">
        <is>
          <t>Sum of O_SALE</t>
        </is>
      </c>
      <c r="C1" s="33" t="inlineStr">
        <is>
          <t>Sum of TOTAL_SPEND</t>
        </is>
      </c>
      <c r="D1" s="33" t="inlineStr">
        <is>
          <t>Sum of O_UNIT</t>
        </is>
      </c>
      <c r="E1" s="33" t="inlineStr">
        <is>
          <t>Max of Exclude_Flag</t>
        </is>
      </c>
      <c r="F1" s="33" t="inlineStr">
        <is>
          <t>Combine Flag</t>
        </is>
      </c>
      <c r="G1" s="33" t="inlineStr">
        <is>
          <t>comment</t>
        </is>
      </c>
    </row>
    <row r="2">
      <c r="A2" t="inlineStr">
        <is>
          <t>0</t>
        </is>
      </c>
      <c r="B2" t="n">
        <v>820.55</v>
      </c>
      <c r="C2" t="n">
        <v>123539.658571601</v>
      </c>
      <c r="D2" t="n">
        <v>34</v>
      </c>
      <c r="E2" t="n">
        <v>1</v>
      </c>
    </row>
    <row r="3">
      <c r="A3" t="inlineStr">
        <is>
          <t>4SISTERS</t>
        </is>
      </c>
      <c r="B3" t="n">
        <v>0</v>
      </c>
      <c r="C3" t="n">
        <v>192.8979491560001</v>
      </c>
      <c r="D3" t="n">
        <v>0</v>
      </c>
      <c r="E3" t="n">
        <v>1</v>
      </c>
    </row>
    <row r="4">
      <c r="A4" t="inlineStr">
        <is>
          <t>A DOZEN COUSINS</t>
        </is>
      </c>
      <c r="B4" t="n">
        <v>5014.99</v>
      </c>
      <c r="C4" t="n">
        <v>11.319999904</v>
      </c>
      <c r="D4" t="n">
        <v>227</v>
      </c>
      <c r="E4" t="n">
        <v>0</v>
      </c>
    </row>
    <row r="5">
      <c r="A5" t="inlineStr">
        <is>
          <t>AL AMIR</t>
        </is>
      </c>
      <c r="B5" t="n">
        <v>11191.43</v>
      </c>
      <c r="C5" t="n">
        <v>0</v>
      </c>
      <c r="D5" t="n">
        <v>6577</v>
      </c>
      <c r="E5" t="n">
        <v>1</v>
      </c>
    </row>
    <row r="6">
      <c r="A6" t="inlineStr">
        <is>
          <t>AL'FEZ</t>
        </is>
      </c>
      <c r="B6" t="n">
        <v>7113.12</v>
      </c>
      <c r="C6" t="n">
        <v>0</v>
      </c>
      <c r="D6" t="n">
        <v>2115</v>
      </c>
      <c r="E6" t="n">
        <v>1</v>
      </c>
    </row>
    <row r="7">
      <c r="A7" t="inlineStr">
        <is>
          <t>ALASKA SEAFOOD</t>
        </is>
      </c>
      <c r="B7" t="n">
        <v>231930.87</v>
      </c>
      <c r="C7" t="n">
        <v>0</v>
      </c>
      <c r="D7" t="n">
        <v>15628</v>
      </c>
      <c r="E7" t="n">
        <v>1</v>
      </c>
    </row>
    <row r="8">
      <c r="A8" t="inlineStr">
        <is>
          <t>ALASKA SMOKEHOUSE</t>
        </is>
      </c>
      <c r="B8" t="n">
        <v>258603.13</v>
      </c>
      <c r="C8" t="n">
        <v>0</v>
      </c>
      <c r="D8" t="n">
        <v>43230</v>
      </c>
      <c r="E8" t="n">
        <v>1</v>
      </c>
    </row>
    <row r="9">
      <c r="A9" t="inlineStr">
        <is>
          <t>ALESSI</t>
        </is>
      </c>
      <c r="B9" t="n">
        <v>34487.83</v>
      </c>
      <c r="C9" t="n">
        <v>0</v>
      </c>
      <c r="D9" t="n">
        <v>9472</v>
      </c>
      <c r="E9" t="n">
        <v>1</v>
      </c>
    </row>
    <row r="10">
      <c r="A10" t="inlineStr">
        <is>
          <t>ALPHA - TRAFON GROUP</t>
        </is>
      </c>
      <c r="B10" t="n">
        <v>5.98</v>
      </c>
      <c r="C10" t="n">
        <v>0</v>
      </c>
      <c r="D10" t="n">
        <v>1</v>
      </c>
      <c r="E10" t="n">
        <v>1</v>
      </c>
    </row>
    <row r="11">
      <c r="A11" t="inlineStr">
        <is>
          <t>ALPINA</t>
        </is>
      </c>
      <c r="B11" t="n">
        <v>42867.56</v>
      </c>
      <c r="C11" t="n">
        <v>0</v>
      </c>
      <c r="D11" t="n">
        <v>21614</v>
      </c>
      <c r="E11" t="n">
        <v>1</v>
      </c>
    </row>
    <row r="12">
      <c r="A12" t="inlineStr">
        <is>
          <t>ALSTERTOR</t>
        </is>
      </c>
      <c r="B12" t="n">
        <v>234.24</v>
      </c>
      <c r="C12" t="n">
        <v>0</v>
      </c>
      <c r="D12" t="n">
        <v>3</v>
      </c>
      <c r="E12" t="n">
        <v>1</v>
      </c>
    </row>
    <row r="13">
      <c r="A13" t="inlineStr">
        <is>
          <t>AMAZING GRAINS</t>
        </is>
      </c>
      <c r="B13" t="n">
        <v>14.88</v>
      </c>
      <c r="C13" t="n">
        <v>0</v>
      </c>
      <c r="D13" t="n">
        <v>1</v>
      </c>
      <c r="E13" t="n">
        <v>1</v>
      </c>
    </row>
    <row r="14">
      <c r="A14" t="inlineStr">
        <is>
          <t>AMY'S KITCHEN</t>
        </is>
      </c>
      <c r="B14" t="n">
        <v>7835997.210000005</v>
      </c>
      <c r="C14" t="n">
        <v>12187.950011893</v>
      </c>
      <c r="D14" t="n">
        <v>1998280</v>
      </c>
      <c r="E14" t="n">
        <v>0</v>
      </c>
      <c r="F14" t="n">
        <v>4</v>
      </c>
      <c r="G14" t="inlineStr">
        <is>
          <t>historic match with "amys kitchen" (score: 0.98)</t>
        </is>
      </c>
    </row>
    <row r="15">
      <c r="A15" t="inlineStr">
        <is>
          <t>AMY'S KITCHEN, INC</t>
        </is>
      </c>
      <c r="B15" t="n">
        <v>82007.37</v>
      </c>
      <c r="C15" t="n">
        <v>2705.339999814</v>
      </c>
      <c r="D15" t="n">
        <v>21278</v>
      </c>
      <c r="E15" t="n">
        <v>0</v>
      </c>
      <c r="F15" t="n">
        <v>4</v>
      </c>
      <c r="G15" t="inlineStr">
        <is>
          <t>historic match with "amys kitchen" (score: 0.90)</t>
        </is>
      </c>
    </row>
    <row r="16">
      <c r="A16" t="inlineStr">
        <is>
          <t>AMYLU</t>
        </is>
      </c>
      <c r="B16" t="n">
        <v>76202.73</v>
      </c>
      <c r="C16" t="n">
        <v>0</v>
      </c>
      <c r="D16" t="n">
        <v>16851</v>
      </c>
      <c r="E16" t="n">
        <v>1</v>
      </c>
    </row>
    <row r="17">
      <c r="A17" t="inlineStr">
        <is>
          <t>ANNIE CHUN'S</t>
        </is>
      </c>
      <c r="B17" t="n">
        <v>2912.48</v>
      </c>
      <c r="C17" t="n">
        <v>0</v>
      </c>
      <c r="D17" t="n">
        <v>122</v>
      </c>
      <c r="E17" t="n">
        <v>1</v>
      </c>
    </row>
    <row r="18">
      <c r="A18" t="inlineStr">
        <is>
          <t>ANNIE'S</t>
        </is>
      </c>
      <c r="B18" t="n">
        <v>12508.010000005</v>
      </c>
      <c r="C18" t="n">
        <v>13360.63034701</v>
      </c>
      <c r="D18" t="n">
        <v>5588</v>
      </c>
      <c r="E18" t="n">
        <v>0</v>
      </c>
    </row>
    <row r="19">
      <c r="A19" t="inlineStr">
        <is>
          <t>ARGETA</t>
        </is>
      </c>
      <c r="B19" t="n">
        <v>295.12</v>
      </c>
      <c r="C19" t="n">
        <v>0</v>
      </c>
      <c r="D19" t="n">
        <v>119</v>
      </c>
      <c r="E19" t="n">
        <v>1</v>
      </c>
    </row>
    <row r="20">
      <c r="A20" t="inlineStr">
        <is>
          <t>ARMOUR</t>
        </is>
      </c>
      <c r="B20" t="n">
        <v>314797771.9598333</v>
      </c>
      <c r="C20" t="n">
        <v>0</v>
      </c>
      <c r="D20" t="n">
        <v>138261755</v>
      </c>
      <c r="E20" t="n">
        <v>1</v>
      </c>
    </row>
    <row r="21">
      <c r="A21" t="inlineStr">
        <is>
          <t>AUNT DOTS</t>
        </is>
      </c>
      <c r="B21" t="n">
        <v>129012.76</v>
      </c>
      <c r="C21" t="n">
        <v>0</v>
      </c>
      <c r="D21" t="n">
        <v>77937</v>
      </c>
      <c r="E21" t="n">
        <v>1</v>
      </c>
    </row>
    <row r="22">
      <c r="A22" t="inlineStr">
        <is>
          <t>AZALEA SEAFOOD</t>
        </is>
      </c>
      <c r="B22" t="n">
        <v>118.56</v>
      </c>
      <c r="C22" t="n">
        <v>0</v>
      </c>
      <c r="D22" t="n">
        <v>12</v>
      </c>
      <c r="E22" t="n">
        <v>1</v>
      </c>
    </row>
    <row r="23">
      <c r="A23" t="inlineStr">
        <is>
          <t>BAKALARS SAUSAGE</t>
        </is>
      </c>
      <c r="B23" t="n">
        <v>32</v>
      </c>
      <c r="C23" t="n">
        <v>0</v>
      </c>
      <c r="D23" t="n">
        <v>1</v>
      </c>
      <c r="E23" t="n">
        <v>1</v>
      </c>
    </row>
    <row r="24">
      <c r="A24" t="inlineStr">
        <is>
          <t>BANNER</t>
        </is>
      </c>
      <c r="B24" t="n">
        <v>4464.61</v>
      </c>
      <c r="C24" t="n">
        <v>0</v>
      </c>
      <c r="D24" t="n">
        <v>463</v>
      </c>
      <c r="E24" t="n">
        <v>1</v>
      </c>
    </row>
    <row r="25">
      <c r="A25" t="inlineStr">
        <is>
          <t>BANZA</t>
        </is>
      </c>
      <c r="B25" t="n">
        <v>396368.480000002</v>
      </c>
      <c r="C25" t="n">
        <v>5476.075525322</v>
      </c>
      <c r="D25" t="n">
        <v>83986</v>
      </c>
      <c r="E25" t="n">
        <v>0</v>
      </c>
    </row>
    <row r="26">
      <c r="A26" t="inlineStr">
        <is>
          <t>BAR HARBOR</t>
        </is>
      </c>
      <c r="B26" t="n">
        <v>1419032.35</v>
      </c>
      <c r="C26" t="n">
        <v>0</v>
      </c>
      <c r="D26" t="n">
        <v>506681</v>
      </c>
      <c r="E26" t="n">
        <v>1</v>
      </c>
    </row>
    <row r="27">
      <c r="A27" t="inlineStr">
        <is>
          <t>BARILLA</t>
        </is>
      </c>
      <c r="B27" t="n">
        <v>243530.963333334</v>
      </c>
      <c r="C27" t="n">
        <v>0</v>
      </c>
      <c r="D27" t="n">
        <v>111348</v>
      </c>
      <c r="E27" t="n">
        <v>1</v>
      </c>
    </row>
    <row r="28">
      <c r="A28" t="inlineStr">
        <is>
          <t>BATTISTONI</t>
        </is>
      </c>
      <c r="B28" t="n">
        <v>508.95</v>
      </c>
      <c r="C28" t="n">
        <v>0</v>
      </c>
      <c r="D28" t="n">
        <v>135</v>
      </c>
      <c r="E28" t="n">
        <v>1</v>
      </c>
    </row>
    <row r="29">
      <c r="A29" t="inlineStr">
        <is>
          <t>BAY BEAUTY</t>
        </is>
      </c>
      <c r="B29" t="n">
        <v>12.96</v>
      </c>
      <c r="C29" t="n">
        <v>0</v>
      </c>
      <c r="D29" t="n">
        <v>4</v>
      </c>
      <c r="E29" t="n">
        <v>1</v>
      </c>
    </row>
    <row r="30">
      <c r="A30" t="inlineStr">
        <is>
          <t>BEACH CLIFF</t>
        </is>
      </c>
      <c r="B30" t="n">
        <v>38785956.71166666</v>
      </c>
      <c r="C30" t="n">
        <v>47630.66062534401</v>
      </c>
      <c r="D30" t="n">
        <v>33420910</v>
      </c>
      <c r="E30" t="n">
        <v>0</v>
      </c>
    </row>
    <row r="31">
      <c r="A31" t="inlineStr">
        <is>
          <t>BEANVIVO</t>
        </is>
      </c>
      <c r="B31" t="n">
        <v>799.21</v>
      </c>
      <c r="C31" t="n">
        <v>0</v>
      </c>
      <c r="D31" t="n">
        <v>49</v>
      </c>
      <c r="E31" t="n">
        <v>1</v>
      </c>
    </row>
    <row r="32">
      <c r="A32" t="inlineStr">
        <is>
          <t>BEAR CREEK</t>
        </is>
      </c>
      <c r="B32" t="n">
        <v>-8.15</v>
      </c>
      <c r="C32" t="n">
        <v>0</v>
      </c>
      <c r="D32" t="n">
        <v>-2</v>
      </c>
      <c r="E32" t="n">
        <v>1</v>
      </c>
    </row>
    <row r="33">
      <c r="A33" t="inlineStr">
        <is>
          <t>BELLINO</t>
        </is>
      </c>
      <c r="B33" t="n">
        <v>523.21</v>
      </c>
      <c r="C33" t="n">
        <v>0</v>
      </c>
      <c r="D33" t="n">
        <v>8</v>
      </c>
      <c r="E33" t="n">
        <v>1</v>
      </c>
    </row>
    <row r="34">
      <c r="A34" t="inlineStr">
        <is>
          <t>BEN'S ORIGINAL</t>
        </is>
      </c>
      <c r="B34" t="n">
        <v>3855654.71</v>
      </c>
      <c r="C34" t="n">
        <v>509014.963309533</v>
      </c>
      <c r="D34" t="n">
        <v>1160790</v>
      </c>
      <c r="E34" t="n">
        <v>0</v>
      </c>
      <c r="F34" t="n">
        <v>3</v>
      </c>
      <c r="G34" t="inlineStr">
        <is>
          <t>historic match with "bens original" (score: 0.92)</t>
        </is>
      </c>
    </row>
    <row r="35">
      <c r="A35" t="inlineStr">
        <is>
          <t>BERETTA</t>
        </is>
      </c>
      <c r="B35" t="n">
        <v>597.08</v>
      </c>
      <c r="C35" t="n">
        <v>0</v>
      </c>
      <c r="D35" t="n">
        <v>46</v>
      </c>
      <c r="E35" t="n">
        <v>1</v>
      </c>
    </row>
    <row r="36">
      <c r="A36" t="inlineStr">
        <is>
          <t>BEST FOODS</t>
        </is>
      </c>
      <c r="B36" t="n">
        <v>2.56</v>
      </c>
      <c r="C36" t="n">
        <v>3730.750782917</v>
      </c>
      <c r="D36" t="n">
        <v>1</v>
      </c>
      <c r="E36" t="n">
        <v>1</v>
      </c>
    </row>
    <row r="37">
      <c r="A37" t="inlineStr">
        <is>
          <t>BETTERGOODS</t>
        </is>
      </c>
      <c r="B37" t="n">
        <v>6122824.4</v>
      </c>
      <c r="C37" t="n">
        <v>0</v>
      </c>
      <c r="D37" t="n">
        <v>2055448</v>
      </c>
      <c r="E37" t="n">
        <v>1</v>
      </c>
    </row>
    <row r="38">
      <c r="A38" t="inlineStr">
        <is>
          <t>BETTY CROCKER</t>
        </is>
      </c>
      <c r="B38" t="n">
        <v>2.98</v>
      </c>
      <c r="C38" t="n">
        <v>0</v>
      </c>
      <c r="D38" t="n">
        <v>1</v>
      </c>
      <c r="E38" t="n">
        <v>1</v>
      </c>
    </row>
    <row r="39">
      <c r="A39" t="inlineStr">
        <is>
          <t>BEVERLY</t>
        </is>
      </c>
      <c r="B39" t="n">
        <v>1735105.19</v>
      </c>
      <c r="C39" t="n">
        <v>0</v>
      </c>
      <c r="D39" t="n">
        <v>653947</v>
      </c>
      <c r="E39" t="n">
        <v>1</v>
      </c>
    </row>
    <row r="40">
      <c r="A40" t="inlineStr">
        <is>
          <t>BIBIGO</t>
        </is>
      </c>
      <c r="B40" t="n">
        <v>88144.79999999999</v>
      </c>
      <c r="C40" t="n">
        <v>5540.799025356</v>
      </c>
      <c r="D40" t="n">
        <v>40420</v>
      </c>
      <c r="E40" t="n">
        <v>0</v>
      </c>
    </row>
    <row r="41">
      <c r="A41" t="inlineStr">
        <is>
          <t>BIG JOHN'S</t>
        </is>
      </c>
      <c r="B41" t="n">
        <v>1750843.925</v>
      </c>
      <c r="C41" t="n">
        <v>165.979999764</v>
      </c>
      <c r="D41" t="n">
        <v>188291</v>
      </c>
      <c r="E41" t="n">
        <v>0</v>
      </c>
    </row>
    <row r="42">
      <c r="A42" t="inlineStr">
        <is>
          <t>BLACK TOP</t>
        </is>
      </c>
      <c r="B42" t="n">
        <v>13602228.22999999</v>
      </c>
      <c r="C42" t="n">
        <v>0</v>
      </c>
      <c r="D42" t="n">
        <v>3698548</v>
      </c>
      <c r="E42" t="n">
        <v>1</v>
      </c>
    </row>
    <row r="43">
      <c r="A43" t="inlineStr">
        <is>
          <t>BLUE BONNET</t>
        </is>
      </c>
      <c r="B43" t="n">
        <v>180.06</v>
      </c>
      <c r="C43" t="n">
        <v>0</v>
      </c>
      <c r="D43" t="n">
        <v>112</v>
      </c>
      <c r="E43" t="n">
        <v>1</v>
      </c>
    </row>
    <row r="44">
      <c r="A44" t="inlineStr">
        <is>
          <t>BLUE CORAL SEA FOOD</t>
        </is>
      </c>
      <c r="B44" t="n">
        <v>59121.64</v>
      </c>
      <c r="C44" t="n">
        <v>0</v>
      </c>
      <c r="D44" t="n">
        <v>6890.07</v>
      </c>
      <c r="E44" t="n">
        <v>1</v>
      </c>
    </row>
    <row r="45">
      <c r="A45" t="inlineStr">
        <is>
          <t>BLUE HARBOR FISH CO.</t>
        </is>
      </c>
      <c r="B45" t="n">
        <v>3542.57</v>
      </c>
      <c r="C45" t="n">
        <v>0</v>
      </c>
      <c r="D45" t="n">
        <v>378</v>
      </c>
      <c r="E45" t="n">
        <v>1</v>
      </c>
    </row>
    <row r="46">
      <c r="A46" t="inlineStr">
        <is>
          <t>BLUE PLATE MAYONNAISE</t>
        </is>
      </c>
      <c r="B46" t="n">
        <v>111424.53</v>
      </c>
      <c r="C46" t="n">
        <v>0</v>
      </c>
      <c r="D46" t="n">
        <v>28764</v>
      </c>
      <c r="E46" t="n">
        <v>1</v>
      </c>
    </row>
    <row r="47">
      <c r="A47" t="inlineStr">
        <is>
          <t>BOHIO</t>
        </is>
      </c>
      <c r="B47" t="n">
        <v>227968.41</v>
      </c>
      <c r="C47" t="n">
        <v>0</v>
      </c>
      <c r="D47" t="n">
        <v>91923</v>
      </c>
      <c r="E47" t="n">
        <v>1</v>
      </c>
    </row>
    <row r="48">
      <c r="A48" t="inlineStr">
        <is>
          <t>BORN SIMPLE</t>
        </is>
      </c>
      <c r="B48" t="n">
        <v>780746.12</v>
      </c>
      <c r="C48" t="n">
        <v>179044.544187612</v>
      </c>
      <c r="D48" t="n">
        <v>197592</v>
      </c>
      <c r="E48" t="n">
        <v>0</v>
      </c>
    </row>
    <row r="49">
      <c r="A49" t="inlineStr">
        <is>
          <t>BRISTOL BREWING COMPANY</t>
        </is>
      </c>
      <c r="B49" t="n">
        <v>13983470.9892014</v>
      </c>
      <c r="C49" t="n">
        <v>13596.270019959</v>
      </c>
      <c r="D49" t="n">
        <v>3594346</v>
      </c>
      <c r="E49" t="n">
        <v>0</v>
      </c>
    </row>
    <row r="50">
      <c r="A50" t="inlineStr">
        <is>
          <t>BROOKWOOD FARMS</t>
        </is>
      </c>
      <c r="B50" t="n">
        <v>4059026.15</v>
      </c>
      <c r="C50" t="n">
        <v>0</v>
      </c>
      <c r="D50" t="n">
        <v>817726</v>
      </c>
      <c r="E50" t="n">
        <v>1</v>
      </c>
    </row>
    <row r="51">
      <c r="A51" t="inlineStr">
        <is>
          <t>BROTHER AND SISTER</t>
        </is>
      </c>
      <c r="B51" t="n">
        <v>348.6</v>
      </c>
      <c r="C51" t="n">
        <v>0</v>
      </c>
      <c r="D51" t="n">
        <v>70</v>
      </c>
      <c r="E51" t="n">
        <v>1</v>
      </c>
    </row>
    <row r="52">
      <c r="A52" t="inlineStr">
        <is>
          <t>BROWNBERRY</t>
        </is>
      </c>
      <c r="B52" t="n">
        <v>1352770.69</v>
      </c>
      <c r="C52" t="n">
        <v>15389.115288607</v>
      </c>
      <c r="D52" t="n">
        <v>226335</v>
      </c>
      <c r="E52" t="n">
        <v>0</v>
      </c>
    </row>
    <row r="53">
      <c r="A53" t="inlineStr">
        <is>
          <t>BRUNSWICK</t>
        </is>
      </c>
      <c r="B53" t="n">
        <v>11898517.01</v>
      </c>
      <c r="C53" t="n">
        <v>7.600000114</v>
      </c>
      <c r="D53" t="n">
        <v>6516880</v>
      </c>
      <c r="E53" t="n">
        <v>0</v>
      </c>
    </row>
    <row r="54">
      <c r="A54" t="inlineStr">
        <is>
          <t>BRYAN</t>
        </is>
      </c>
      <c r="B54" t="n">
        <v>2319866.98</v>
      </c>
      <c r="C54" t="n">
        <v>0</v>
      </c>
      <c r="D54" t="n">
        <v>2344268</v>
      </c>
      <c r="E54" t="n">
        <v>1</v>
      </c>
    </row>
    <row r="55">
      <c r="A55" t="inlineStr">
        <is>
          <t>BUENO</t>
        </is>
      </c>
      <c r="B55" t="n">
        <v>285559.22</v>
      </c>
      <c r="C55" t="n">
        <v>81.24000106699998</v>
      </c>
      <c r="D55" t="n">
        <v>28325</v>
      </c>
      <c r="E55" t="n">
        <v>0</v>
      </c>
    </row>
    <row r="56">
      <c r="A56" t="inlineStr">
        <is>
          <t>BUENO FOODS</t>
        </is>
      </c>
      <c r="B56" t="n">
        <v>41159.34</v>
      </c>
      <c r="C56" t="n">
        <v>406.987826207</v>
      </c>
      <c r="D56" t="n">
        <v>3875</v>
      </c>
      <c r="E56" t="n">
        <v>0</v>
      </c>
    </row>
    <row r="57">
      <c r="A57" t="inlineStr">
        <is>
          <t>BUMBLE BEE</t>
        </is>
      </c>
      <c r="B57" t="n">
        <v>349687502.7078501</v>
      </c>
      <c r="C57" t="n">
        <v>1417766.030213475</v>
      </c>
      <c r="D57" t="n">
        <v>143767334.46</v>
      </c>
      <c r="E57" t="n">
        <v>0</v>
      </c>
    </row>
    <row r="58">
      <c r="A58" t="inlineStr">
        <is>
          <t>BUSH'S</t>
        </is>
      </c>
      <c r="B58" t="n">
        <v>3.48</v>
      </c>
      <c r="C58" t="n">
        <v>0</v>
      </c>
      <c r="D58" t="n">
        <v>1</v>
      </c>
      <c r="E58" t="n">
        <v>1</v>
      </c>
    </row>
    <row r="59">
      <c r="A59" t="inlineStr">
        <is>
          <t>BUTTERFIELD FARMS</t>
        </is>
      </c>
      <c r="B59" t="n">
        <v>3318127.17</v>
      </c>
      <c r="C59" t="n">
        <v>0</v>
      </c>
      <c r="D59" t="n">
        <v>808816</v>
      </c>
      <c r="E59" t="n">
        <v>1</v>
      </c>
    </row>
    <row r="60">
      <c r="A60" t="inlineStr">
        <is>
          <t>CAF SELLO ROJO</t>
        </is>
      </c>
      <c r="B60" t="n">
        <v>74916.81999999999</v>
      </c>
      <c r="C60" t="n">
        <v>0</v>
      </c>
      <c r="D60" t="n">
        <v>31631</v>
      </c>
      <c r="E60" t="n">
        <v>1</v>
      </c>
    </row>
    <row r="61">
      <c r="A61" t="inlineStr">
        <is>
          <t>CAFÉ SELLO ROJO</t>
        </is>
      </c>
      <c r="B61" t="n">
        <v>8931.940000000001</v>
      </c>
      <c r="C61" t="n">
        <v>0</v>
      </c>
      <c r="D61" t="n">
        <v>3769</v>
      </c>
      <c r="E61" t="n">
        <v>1</v>
      </c>
    </row>
    <row r="62">
      <c r="A62" t="inlineStr">
        <is>
          <t>CAJUN TWO STEP</t>
        </is>
      </c>
      <c r="B62" t="n">
        <v>390195.3199999999</v>
      </c>
      <c r="C62" t="n">
        <v>0</v>
      </c>
      <c r="D62" t="n">
        <v>70063</v>
      </c>
      <c r="E62" t="n">
        <v>1</v>
      </c>
    </row>
    <row r="63">
      <c r="A63" t="inlineStr">
        <is>
          <t>CALIFORNIA GIRL</t>
        </is>
      </c>
      <c r="B63" t="n">
        <v>10845777.13</v>
      </c>
      <c r="C63" t="n">
        <v>0</v>
      </c>
      <c r="D63" t="n">
        <v>5368186</v>
      </c>
      <c r="E63" t="n">
        <v>1</v>
      </c>
    </row>
    <row r="64">
      <c r="A64" t="inlineStr">
        <is>
          <t>CAMELLIA</t>
        </is>
      </c>
      <c r="B64" t="n">
        <v>-0.75</v>
      </c>
      <c r="C64" t="n">
        <v>0</v>
      </c>
      <c r="D64" t="n">
        <v>-1</v>
      </c>
      <c r="E64" t="n">
        <v>1</v>
      </c>
    </row>
    <row r="65">
      <c r="A65" t="inlineStr">
        <is>
          <t>CAMPBELL'S</t>
        </is>
      </c>
      <c r="B65" t="n">
        <v>13.41</v>
      </c>
      <c r="C65" t="n">
        <v>0</v>
      </c>
      <c r="D65" t="n">
        <v>14</v>
      </c>
      <c r="E65" t="n">
        <v>1</v>
      </c>
    </row>
    <row r="66">
      <c r="A66" t="inlineStr">
        <is>
          <t>CAMPBELL'S READY MEALS</t>
        </is>
      </c>
      <c r="B66" t="n">
        <v>1.6</v>
      </c>
      <c r="C66" t="n">
        <v>0</v>
      </c>
      <c r="D66" t="n">
        <v>1</v>
      </c>
      <c r="E66" t="n">
        <v>1</v>
      </c>
    </row>
    <row r="67">
      <c r="A67" t="inlineStr">
        <is>
          <t>CAMPBELLS HEALTHY REQUEST</t>
        </is>
      </c>
      <c r="B67" t="n">
        <v>7.920000000000001</v>
      </c>
      <c r="C67" t="n">
        <v>0</v>
      </c>
      <c r="D67" t="n">
        <v>4</v>
      </c>
      <c r="E67" t="n">
        <v>1</v>
      </c>
      <c r="F67" t="n">
        <v>2</v>
      </c>
      <c r="G67" t="inlineStr">
        <is>
          <t>historic match with "campbells healthy request" (score: 1.00)</t>
        </is>
      </c>
    </row>
    <row r="68">
      <c r="A68" t="inlineStr">
        <is>
          <t>CANARIO</t>
        </is>
      </c>
      <c r="B68" t="n">
        <v>267144.84</v>
      </c>
      <c r="C68" t="n">
        <v>0</v>
      </c>
      <c r="D68" t="n">
        <v>108593</v>
      </c>
      <c r="E68" t="n">
        <v>1</v>
      </c>
    </row>
    <row r="69">
      <c r="A69" t="inlineStr">
        <is>
          <t>CANNED ALBO</t>
        </is>
      </c>
      <c r="B69" t="n">
        <v>51249.81</v>
      </c>
      <c r="C69" t="n">
        <v>0</v>
      </c>
      <c r="D69" t="n">
        <v>11368</v>
      </c>
      <c r="E69" t="n">
        <v>1</v>
      </c>
    </row>
    <row r="70">
      <c r="A70" t="inlineStr">
        <is>
          <t>CANOE</t>
        </is>
      </c>
      <c r="B70" t="n">
        <v>20897.07</v>
      </c>
      <c r="C70" t="n">
        <v>0</v>
      </c>
      <c r="D70" t="n">
        <v>423</v>
      </c>
      <c r="E70" t="n">
        <v>1</v>
      </c>
    </row>
    <row r="71">
      <c r="A71" t="inlineStr">
        <is>
          <t>CARIBBEAN RHYTHM</t>
        </is>
      </c>
      <c r="B71" t="n">
        <v>10662.85</v>
      </c>
      <c r="C71" t="n">
        <v>0</v>
      </c>
      <c r="D71" t="n">
        <v>2246</v>
      </c>
      <c r="E71" t="n">
        <v>1</v>
      </c>
    </row>
    <row r="72">
      <c r="A72" t="inlineStr">
        <is>
          <t>CARIBBEAN SUNSHINE</t>
        </is>
      </c>
      <c r="B72" t="n">
        <v>133.4</v>
      </c>
      <c r="C72" t="n">
        <v>0</v>
      </c>
      <c r="D72" t="n">
        <v>2</v>
      </c>
      <c r="E72" t="n">
        <v>1</v>
      </c>
    </row>
    <row r="73">
      <c r="A73" t="inlineStr">
        <is>
          <t>CARMELA HOME</t>
        </is>
      </c>
      <c r="B73" t="n">
        <v>21539633.34</v>
      </c>
      <c r="C73" t="n">
        <v>0</v>
      </c>
      <c r="D73" t="n">
        <v>30226244</v>
      </c>
      <c r="E73" t="n">
        <v>1</v>
      </c>
    </row>
    <row r="74">
      <c r="A74" t="inlineStr">
        <is>
          <t>CAROLINA</t>
        </is>
      </c>
      <c r="B74" t="n">
        <v>54437.4</v>
      </c>
      <c r="C74" t="n">
        <v>3184.830007166001</v>
      </c>
      <c r="D74" t="n">
        <v>32251</v>
      </c>
      <c r="E74" t="n">
        <v>0</v>
      </c>
    </row>
    <row r="75">
      <c r="A75" t="inlineStr">
        <is>
          <t>CASTLEBERRY'S</t>
        </is>
      </c>
      <c r="B75" t="n">
        <v>13274071.3</v>
      </c>
      <c r="C75" t="n">
        <v>1192.480006264</v>
      </c>
      <c r="D75" t="n">
        <v>9883734</v>
      </c>
      <c r="E75" t="n">
        <v>0</v>
      </c>
    </row>
    <row r="76">
      <c r="A76" t="inlineStr">
        <is>
          <t>CEDEIRA</t>
        </is>
      </c>
      <c r="B76" t="n">
        <v>2212096.98</v>
      </c>
      <c r="C76" t="n">
        <v>0</v>
      </c>
      <c r="D76" t="n">
        <v>1263086</v>
      </c>
      <c r="E76" t="n">
        <v>1</v>
      </c>
    </row>
    <row r="77">
      <c r="A77" t="inlineStr">
        <is>
          <t>CELEBRITY MANIKINS</t>
        </is>
      </c>
      <c r="B77" t="n">
        <v>83.64</v>
      </c>
      <c r="C77" t="n">
        <v>0</v>
      </c>
      <c r="D77" t="n">
        <v>27</v>
      </c>
      <c r="E77" t="n">
        <v>1</v>
      </c>
    </row>
    <row r="78">
      <c r="A78" t="inlineStr">
        <is>
          <t>CENTO</t>
        </is>
      </c>
      <c r="B78" t="n">
        <v>2626294.28</v>
      </c>
      <c r="C78" t="n">
        <v>138.199998563</v>
      </c>
      <c r="D78" t="n">
        <v>1337670</v>
      </c>
      <c r="E78" t="n">
        <v>0</v>
      </c>
    </row>
    <row r="79">
      <c r="A79" t="inlineStr">
        <is>
          <t>CENTURY</t>
        </is>
      </c>
      <c r="B79" t="n">
        <v>2.94</v>
      </c>
      <c r="C79" t="n">
        <v>0</v>
      </c>
      <c r="D79" t="n">
        <v>1</v>
      </c>
      <c r="E79" t="n">
        <v>1</v>
      </c>
    </row>
    <row r="80">
      <c r="A80" t="inlineStr">
        <is>
          <t>CERTIFIED HUMANE RAISED AND HANDLED</t>
        </is>
      </c>
      <c r="B80" t="n">
        <v>0</v>
      </c>
      <c r="C80" t="n">
        <v>2282.815780405</v>
      </c>
      <c r="D80" t="n">
        <v>0</v>
      </c>
      <c r="E80" t="n">
        <v>1</v>
      </c>
    </row>
    <row r="81">
      <c r="A81" t="inlineStr">
        <is>
          <t>CHEETOS</t>
        </is>
      </c>
      <c r="B81" t="n">
        <v>752136.0800000001</v>
      </c>
      <c r="C81" t="n">
        <v>9452.111832347</v>
      </c>
      <c r="D81" t="n">
        <v>306103</v>
      </c>
      <c r="E81" t="n">
        <v>0</v>
      </c>
    </row>
    <row r="82">
      <c r="A82" t="inlineStr">
        <is>
          <t>CHEF SORAYA</t>
        </is>
      </c>
      <c r="B82" t="n">
        <v>522.83</v>
      </c>
      <c r="C82" t="n">
        <v>0</v>
      </c>
      <c r="D82" t="n">
        <v>239</v>
      </c>
      <c r="E82" t="n">
        <v>1</v>
      </c>
    </row>
    <row r="83">
      <c r="A83" t="inlineStr">
        <is>
          <t>CHEF WOO</t>
        </is>
      </c>
      <c r="B83" t="n">
        <v>63045.46</v>
      </c>
      <c r="C83" t="n">
        <v>0</v>
      </c>
      <c r="D83" t="n">
        <v>37284</v>
      </c>
      <c r="E83" t="n">
        <v>1</v>
      </c>
    </row>
    <row r="84">
      <c r="A84" t="inlineStr">
        <is>
          <t>CHEF-MATE</t>
        </is>
      </c>
      <c r="B84" t="n">
        <v>36324.680000002</v>
      </c>
      <c r="C84" t="n">
        <v>1981.510011633</v>
      </c>
      <c r="D84" t="n">
        <v>1770</v>
      </c>
      <c r="E84" t="n">
        <v>0</v>
      </c>
    </row>
    <row r="85">
      <c r="A85" t="inlineStr">
        <is>
          <t>CHICKEN OF THE SEA</t>
        </is>
      </c>
      <c r="B85" t="n">
        <v>179811272.1866667</v>
      </c>
      <c r="C85" t="n">
        <v>510813.3488217321</v>
      </c>
      <c r="D85" t="n">
        <v>80833416</v>
      </c>
      <c r="E85" t="n">
        <v>0</v>
      </c>
    </row>
    <row r="86">
      <c r="A86" t="inlineStr">
        <is>
          <t>CHILLI MAN</t>
        </is>
      </c>
      <c r="B86" t="n">
        <v>2524533.32</v>
      </c>
      <c r="C86" t="n">
        <v>44275.539926608</v>
      </c>
      <c r="D86" t="n">
        <v>1117131</v>
      </c>
      <c r="E86" t="n">
        <v>0</v>
      </c>
    </row>
    <row r="87">
      <c r="A87" t="inlineStr">
        <is>
          <t>CHUNKY</t>
        </is>
      </c>
      <c r="B87" t="n">
        <v>36199771.98</v>
      </c>
      <c r="C87" t="n">
        <v>145478.405084136</v>
      </c>
      <c r="D87" t="n">
        <v>13420461</v>
      </c>
      <c r="E87" t="n">
        <v>0</v>
      </c>
      <c r="F87" t="n">
        <v>2</v>
      </c>
      <c r="G87" t="inlineStr">
        <is>
          <t>historic match with "chunky" (score: 1.00)</t>
        </is>
      </c>
    </row>
    <row r="88">
      <c r="A88" t="inlineStr">
        <is>
          <t>CINCINNATI RECIPE</t>
        </is>
      </c>
      <c r="B88" t="n">
        <v>2032901.839999999</v>
      </c>
      <c r="C88" t="n">
        <v>0</v>
      </c>
      <c r="D88" t="n">
        <v>462635</v>
      </c>
      <c r="E88" t="n">
        <v>1</v>
      </c>
    </row>
    <row r="89">
      <c r="A89" t="inlineStr">
        <is>
          <t>COLE'S</t>
        </is>
      </c>
      <c r="B89" t="n">
        <v>3537309.53</v>
      </c>
      <c r="C89" t="n">
        <v>55769.00021045801</v>
      </c>
      <c r="D89" t="n">
        <v>788178</v>
      </c>
      <c r="E89" t="n">
        <v>0</v>
      </c>
    </row>
    <row r="90">
      <c r="A90" t="inlineStr">
        <is>
          <t>COLOSO</t>
        </is>
      </c>
      <c r="B90" t="n">
        <v>264083.53</v>
      </c>
      <c r="C90" t="n">
        <v>0</v>
      </c>
      <c r="D90" t="n">
        <v>130097</v>
      </c>
      <c r="E90" t="n">
        <v>1</v>
      </c>
    </row>
    <row r="91">
      <c r="A91" t="inlineStr">
        <is>
          <t>COMING SOON</t>
        </is>
      </c>
      <c r="B91" t="n">
        <v>15954.61</v>
      </c>
      <c r="C91" t="n">
        <v>51.59120851700001</v>
      </c>
      <c r="D91" t="n">
        <v>6184</v>
      </c>
      <c r="E91" t="n">
        <v>0</v>
      </c>
    </row>
    <row r="92">
      <c r="A92" t="inlineStr">
        <is>
          <t>COMPANION</t>
        </is>
      </c>
      <c r="B92" t="n">
        <v>59.68</v>
      </c>
      <c r="C92" t="n">
        <v>0</v>
      </c>
      <c r="D92" t="n">
        <v>1</v>
      </c>
      <c r="E92" t="n">
        <v>1</v>
      </c>
    </row>
    <row r="93">
      <c r="A93" t="inlineStr">
        <is>
          <t>COMPLEATS</t>
        </is>
      </c>
      <c r="B93" t="n">
        <v>68160247.14967652</v>
      </c>
      <c r="C93" t="n">
        <v>312664.7349217681</v>
      </c>
      <c r="D93" t="n">
        <v>30100576</v>
      </c>
      <c r="E93" t="n">
        <v>0</v>
      </c>
    </row>
    <row r="94">
      <c r="A94" t="inlineStr">
        <is>
          <t>CONAGRA BRANDS</t>
        </is>
      </c>
      <c r="B94" t="n">
        <v>123156091.57</v>
      </c>
      <c r="C94" t="n">
        <v>29472.870153172</v>
      </c>
      <c r="D94" t="n">
        <v>49904717</v>
      </c>
      <c r="E94" t="n">
        <v>0</v>
      </c>
    </row>
    <row r="95">
      <c r="A95" t="inlineStr">
        <is>
          <t>CORA</t>
        </is>
      </c>
      <c r="B95" t="n">
        <v>737.51</v>
      </c>
      <c r="C95" t="n">
        <v>0</v>
      </c>
      <c r="D95" t="n">
        <v>248</v>
      </c>
      <c r="E95" t="n">
        <v>1</v>
      </c>
    </row>
    <row r="96">
      <c r="A96" t="inlineStr">
        <is>
          <t>CORAL</t>
        </is>
      </c>
      <c r="B96" t="n">
        <v>669586.08</v>
      </c>
      <c r="C96" t="n">
        <v>0</v>
      </c>
      <c r="D96" t="n">
        <v>522196</v>
      </c>
      <c r="E96" t="n">
        <v>1</v>
      </c>
    </row>
    <row r="97">
      <c r="A97" t="inlineStr">
        <is>
          <t>COUNTRY ARCHER</t>
        </is>
      </c>
      <c r="B97" t="n">
        <v>7011.65</v>
      </c>
      <c r="C97" t="n">
        <v>0</v>
      </c>
      <c r="D97" t="n">
        <v>683</v>
      </c>
      <c r="E97" t="n">
        <v>1</v>
      </c>
    </row>
    <row r="98">
      <c r="A98" t="inlineStr">
        <is>
          <t>COUNTRY CROCK</t>
        </is>
      </c>
      <c r="B98" t="n">
        <v>0</v>
      </c>
      <c r="C98" t="n">
        <v>4.109999939000001</v>
      </c>
      <c r="D98" t="n">
        <v>0</v>
      </c>
      <c r="E98" t="n">
        <v>1</v>
      </c>
    </row>
    <row r="99">
      <c r="A99" t="inlineStr">
        <is>
          <t>CPG UNMEAT</t>
        </is>
      </c>
      <c r="B99" t="n">
        <v>1599889.95</v>
      </c>
      <c r="C99" t="n">
        <v>137288.899837123</v>
      </c>
      <c r="D99" t="n">
        <v>485183</v>
      </c>
      <c r="E99" t="n">
        <v>0</v>
      </c>
    </row>
    <row r="100">
      <c r="A100" t="inlineStr">
        <is>
          <t>CREAMETTE</t>
        </is>
      </c>
      <c r="B100" t="n">
        <v>139206.78</v>
      </c>
      <c r="C100" t="n">
        <v>7899.815782522999</v>
      </c>
      <c r="D100" t="n">
        <v>93987</v>
      </c>
      <c r="E100" t="n">
        <v>0</v>
      </c>
    </row>
    <row r="101">
      <c r="A101" t="inlineStr">
        <is>
          <t>CROSSE &amp; BLACKWELL</t>
        </is>
      </c>
      <c r="B101" t="n">
        <v>1078.64</v>
      </c>
      <c r="C101" t="n">
        <v>0</v>
      </c>
      <c r="D101" t="n">
        <v>194</v>
      </c>
      <c r="E101" t="n">
        <v>1</v>
      </c>
    </row>
    <row r="102">
      <c r="A102" t="inlineStr">
        <is>
          <t>CROWN</t>
        </is>
      </c>
      <c r="B102" t="n">
        <v>85503.04000000001</v>
      </c>
      <c r="C102" t="n">
        <v>0</v>
      </c>
      <c r="D102" t="n">
        <v>9589</v>
      </c>
      <c r="E102" t="n">
        <v>1</v>
      </c>
    </row>
    <row r="103">
      <c r="A103" t="inlineStr">
        <is>
          <t>CROWN PRINCE</t>
        </is>
      </c>
      <c r="B103" t="n">
        <v>14781190.682</v>
      </c>
      <c r="C103" t="n">
        <v>10503.290211008</v>
      </c>
      <c r="D103" t="n">
        <v>7226751</v>
      </c>
      <c r="E103" t="n">
        <v>0</v>
      </c>
    </row>
    <row r="104">
      <c r="A104" t="inlineStr">
        <is>
          <t>CROWN PRINCE NATURAL</t>
        </is>
      </c>
      <c r="B104" t="n">
        <v>45733.980000003</v>
      </c>
      <c r="C104" t="n">
        <v>0</v>
      </c>
      <c r="D104" t="n">
        <v>10552</v>
      </c>
      <c r="E104" t="n">
        <v>1</v>
      </c>
    </row>
    <row r="105">
      <c r="A105" t="inlineStr">
        <is>
          <t>CUCINA &amp; AMORE</t>
        </is>
      </c>
      <c r="B105" t="n">
        <v>3238.06</v>
      </c>
      <c r="C105" t="n">
        <v>0</v>
      </c>
      <c r="D105" t="n">
        <v>111</v>
      </c>
      <c r="E105" t="n">
        <v>1</v>
      </c>
    </row>
    <row r="106">
      <c r="A106" t="inlineStr">
        <is>
          <t>CUGINO'S</t>
        </is>
      </c>
      <c r="B106" t="n">
        <v>0</v>
      </c>
      <c r="C106" t="n">
        <v>1501.450002349</v>
      </c>
      <c r="D106" t="n">
        <v>0</v>
      </c>
      <c r="E106" t="n">
        <v>1</v>
      </c>
    </row>
    <row r="107">
      <c r="A107" t="inlineStr">
        <is>
          <t>CUSTARD STAND</t>
        </is>
      </c>
      <c r="B107" t="n">
        <v>34079.45</v>
      </c>
      <c r="C107" t="n">
        <v>0</v>
      </c>
      <c r="D107" t="n">
        <v>5829</v>
      </c>
      <c r="E107" t="n">
        <v>1</v>
      </c>
    </row>
    <row r="108">
      <c r="A108" t="inlineStr">
        <is>
          <t>DAILY CHEF</t>
        </is>
      </c>
      <c r="B108" t="n">
        <v>76.97</v>
      </c>
      <c r="C108" t="n">
        <v>0</v>
      </c>
      <c r="D108" t="n">
        <v>7</v>
      </c>
      <c r="E108" t="n">
        <v>1</v>
      </c>
    </row>
    <row r="109">
      <c r="A109" t="inlineStr">
        <is>
          <t>DAIYA</t>
        </is>
      </c>
      <c r="B109" t="n">
        <v>609191.9400000001</v>
      </c>
      <c r="C109" t="n">
        <v>41078.260421307</v>
      </c>
      <c r="D109" t="n">
        <v>190486</v>
      </c>
      <c r="E109" t="n">
        <v>0</v>
      </c>
    </row>
    <row r="110">
      <c r="A110" t="inlineStr">
        <is>
          <t>DAK</t>
        </is>
      </c>
      <c r="B110" t="n">
        <v>322223.01</v>
      </c>
      <c r="C110" t="n">
        <v>0</v>
      </c>
      <c r="D110" t="n">
        <v>126726</v>
      </c>
      <c r="E110" t="n">
        <v>1</v>
      </c>
    </row>
    <row r="111">
      <c r="A111" t="inlineStr">
        <is>
          <t>DAUFUSKI BRAND</t>
        </is>
      </c>
      <c r="B111" t="n">
        <v>117.37</v>
      </c>
      <c r="C111" t="n">
        <v>0</v>
      </c>
      <c r="D111" t="n">
        <v>69</v>
      </c>
      <c r="E111" t="n">
        <v>1</v>
      </c>
    </row>
    <row r="112">
      <c r="A112" t="inlineStr">
        <is>
          <t>DEL MONTE</t>
        </is>
      </c>
      <c r="B112" t="n">
        <v>0</v>
      </c>
      <c r="C112" t="n">
        <v>185.210987504</v>
      </c>
      <c r="D112" t="n">
        <v>0</v>
      </c>
      <c r="E112" t="n">
        <v>1</v>
      </c>
    </row>
    <row r="113">
      <c r="A113" t="inlineStr">
        <is>
          <t>DEL REAL FOODS</t>
        </is>
      </c>
      <c r="B113" t="n">
        <v>0</v>
      </c>
      <c r="C113" t="n">
        <v>13836.671482939</v>
      </c>
      <c r="D113" t="n">
        <v>0</v>
      </c>
      <c r="E113" t="n">
        <v>1</v>
      </c>
    </row>
    <row r="114">
      <c r="A114" t="inlineStr">
        <is>
          <t>DELALLO</t>
        </is>
      </c>
      <c r="B114" t="n">
        <v>62298.08</v>
      </c>
      <c r="C114" t="n">
        <v>0</v>
      </c>
      <c r="D114" t="n">
        <v>31410</v>
      </c>
      <c r="E114" t="n">
        <v>1</v>
      </c>
    </row>
    <row r="115">
      <c r="A115" t="inlineStr">
        <is>
          <t>DELAMARIS</t>
        </is>
      </c>
      <c r="B115" t="n">
        <v>16.72</v>
      </c>
      <c r="C115" t="n">
        <v>0</v>
      </c>
      <c r="D115" t="n">
        <v>4</v>
      </c>
      <c r="E115" t="n">
        <v>1</v>
      </c>
    </row>
    <row r="116">
      <c r="A116" t="inlineStr">
        <is>
          <t>DELAMARIS IZOLA</t>
        </is>
      </c>
      <c r="B116" t="n">
        <v>13.09</v>
      </c>
      <c r="C116" t="n">
        <v>0</v>
      </c>
      <c r="D116" t="n">
        <v>7</v>
      </c>
      <c r="E116" t="n">
        <v>1</v>
      </c>
    </row>
    <row r="117">
      <c r="A117" t="inlineStr">
        <is>
          <t>DELCA</t>
        </is>
      </c>
      <c r="B117" t="n">
        <v>17.48</v>
      </c>
      <c r="C117" t="n">
        <v>0</v>
      </c>
      <c r="D117" t="n">
        <v>2</v>
      </c>
      <c r="E117" t="n">
        <v>1</v>
      </c>
    </row>
    <row r="118">
      <c r="A118" t="inlineStr">
        <is>
          <t>DELGROSSO</t>
        </is>
      </c>
      <c r="B118" t="n">
        <v>0</v>
      </c>
      <c r="C118" t="n">
        <v>13805.679828205</v>
      </c>
      <c r="D118" t="n">
        <v>0</v>
      </c>
      <c r="E118" t="n">
        <v>1</v>
      </c>
    </row>
    <row r="119">
      <c r="A119" t="inlineStr">
        <is>
          <t>DELL'ALPE</t>
        </is>
      </c>
      <c r="B119" t="n">
        <v>1111.14</v>
      </c>
      <c r="C119" t="n">
        <v>0</v>
      </c>
      <c r="D119" t="n">
        <v>37</v>
      </c>
      <c r="E119" t="n">
        <v>1</v>
      </c>
    </row>
    <row r="120">
      <c r="A120" t="inlineStr">
        <is>
          <t>DEMING'S</t>
        </is>
      </c>
      <c r="B120" t="n">
        <v>11127273.67770833</v>
      </c>
      <c r="C120" t="n">
        <v>0</v>
      </c>
      <c r="D120" t="n">
        <v>1798131</v>
      </c>
      <c r="E120" t="n">
        <v>1</v>
      </c>
    </row>
    <row r="121">
      <c r="A121" t="inlineStr">
        <is>
          <t>DENNISON'S</t>
        </is>
      </c>
      <c r="B121" t="n">
        <v>11560470.665</v>
      </c>
      <c r="C121" t="n">
        <v>0</v>
      </c>
      <c r="D121" t="n">
        <v>5615719</v>
      </c>
      <c r="E121" t="n">
        <v>1</v>
      </c>
    </row>
    <row r="122">
      <c r="A122" t="inlineStr">
        <is>
          <t>DERBY</t>
        </is>
      </c>
      <c r="B122" t="n">
        <v>1167002.48</v>
      </c>
      <c r="C122" t="n">
        <v>0</v>
      </c>
      <c r="D122" t="n">
        <v>476699</v>
      </c>
      <c r="E122" t="n">
        <v>1</v>
      </c>
    </row>
    <row r="123">
      <c r="A123" t="inlineStr">
        <is>
          <t>DICKINSON'S</t>
        </is>
      </c>
      <c r="B123" t="n">
        <v>2.24</v>
      </c>
      <c r="C123" t="n">
        <v>0</v>
      </c>
      <c r="D123" t="n">
        <v>1</v>
      </c>
      <c r="E123" t="n">
        <v>1</v>
      </c>
    </row>
    <row r="124">
      <c r="A124" t="inlineStr">
        <is>
          <t>DINTY MOORE</t>
        </is>
      </c>
      <c r="B124" t="n">
        <v>560869.14</v>
      </c>
      <c r="C124" t="n">
        <v>4979.516973926</v>
      </c>
      <c r="D124" t="n">
        <v>51399</v>
      </c>
      <c r="E124" t="n">
        <v>0</v>
      </c>
    </row>
    <row r="125">
      <c r="A125" t="inlineStr">
        <is>
          <t>DIVINA</t>
        </is>
      </c>
      <c r="B125" t="n">
        <v>12459.76</v>
      </c>
      <c r="C125" t="n">
        <v>0</v>
      </c>
      <c r="D125" t="n">
        <v>293</v>
      </c>
      <c r="E125" t="n">
        <v>1</v>
      </c>
    </row>
    <row r="126">
      <c r="A126" t="inlineStr">
        <is>
          <t>DIXIE CHILI &amp; DELI</t>
        </is>
      </c>
      <c r="B126" t="n">
        <v>318472.86</v>
      </c>
      <c r="C126" t="n">
        <v>0</v>
      </c>
      <c r="D126" t="n">
        <v>77098</v>
      </c>
      <c r="E126" t="n">
        <v>1</v>
      </c>
    </row>
    <row r="127">
      <c r="A127" t="inlineStr">
        <is>
          <t>DOA MARA</t>
        </is>
      </c>
      <c r="B127" t="n">
        <v>26.46</v>
      </c>
      <c r="C127" t="n">
        <v>0</v>
      </c>
      <c r="D127" t="n">
        <v>19</v>
      </c>
      <c r="E127" t="n">
        <v>1</v>
      </c>
    </row>
    <row r="128">
      <c r="A128" t="inlineStr">
        <is>
          <t>DOBROVA</t>
        </is>
      </c>
      <c r="B128" t="n">
        <v>10440.25</v>
      </c>
      <c r="C128" t="n">
        <v>0</v>
      </c>
      <c r="D128" t="n">
        <v>2532</v>
      </c>
      <c r="E128" t="n">
        <v>1</v>
      </c>
    </row>
    <row r="129">
      <c r="A129" t="inlineStr">
        <is>
          <t>DOLORES</t>
        </is>
      </c>
      <c r="B129" t="n">
        <v>43350.15</v>
      </c>
      <c r="C129" t="n">
        <v>36.30000026599999</v>
      </c>
      <c r="D129" t="n">
        <v>25209</v>
      </c>
      <c r="E129" t="n">
        <v>0</v>
      </c>
    </row>
    <row r="130">
      <c r="A130" t="inlineStr">
        <is>
          <t>DONGWON</t>
        </is>
      </c>
      <c r="B130" t="n">
        <v>6.54</v>
      </c>
      <c r="C130" t="n">
        <v>0</v>
      </c>
      <c r="D130" t="n">
        <v>3</v>
      </c>
      <c r="E130" t="n">
        <v>1</v>
      </c>
    </row>
    <row r="131">
      <c r="A131" t="inlineStr">
        <is>
          <t>DOUBLE "Q"</t>
        </is>
      </c>
      <c r="B131" t="n">
        <v>24527552.87483339</v>
      </c>
      <c r="C131" t="n">
        <v>0</v>
      </c>
      <c r="D131" t="n">
        <v>6207340</v>
      </c>
      <c r="E131" t="n">
        <v>1</v>
      </c>
    </row>
    <row r="132">
      <c r="A132" t="inlineStr">
        <is>
          <t>DO��A MAR��A</t>
        </is>
      </c>
      <c r="B132" t="n">
        <v>114.48</v>
      </c>
      <c r="C132" t="n">
        <v>0</v>
      </c>
      <c r="D132" t="n">
        <v>18</v>
      </c>
      <c r="E132" t="n">
        <v>1</v>
      </c>
    </row>
    <row r="133">
      <c r="A133" t="inlineStr">
        <is>
          <t>DR. MCDOUGALL'S RIGHT FOODS</t>
        </is>
      </c>
      <c r="B133" t="n">
        <v>816.3</v>
      </c>
      <c r="C133" t="n">
        <v>0</v>
      </c>
      <c r="D133" t="n">
        <v>43</v>
      </c>
      <c r="E133" t="n">
        <v>1</v>
      </c>
    </row>
    <row r="134">
      <c r="A134" t="inlineStr">
        <is>
          <t>EAGLE 20'S</t>
        </is>
      </c>
      <c r="B134" t="n">
        <v>106.8</v>
      </c>
      <c r="C134" t="n">
        <v>0</v>
      </c>
      <c r="D134" t="n">
        <v>2</v>
      </c>
      <c r="E134" t="n">
        <v>1</v>
      </c>
    </row>
    <row r="135">
      <c r="A135" t="inlineStr">
        <is>
          <t>EARTH BOUND</t>
        </is>
      </c>
      <c r="B135" t="n">
        <v>77216.8</v>
      </c>
      <c r="C135" t="n">
        <v>6212.120039197</v>
      </c>
      <c r="D135" t="n">
        <v>13042</v>
      </c>
      <c r="E135" t="n">
        <v>0</v>
      </c>
    </row>
    <row r="136">
      <c r="A136" t="inlineStr">
        <is>
          <t>EAST POINT</t>
        </is>
      </c>
      <c r="B136" t="n">
        <v>-13.44</v>
      </c>
      <c r="C136" t="n">
        <v>0</v>
      </c>
      <c r="D136" t="n">
        <v>-3</v>
      </c>
      <c r="E136" t="n">
        <v>1</v>
      </c>
    </row>
    <row r="137">
      <c r="A137" t="inlineStr">
        <is>
          <t>ECKRICH</t>
        </is>
      </c>
      <c r="B137" t="n">
        <v>0</v>
      </c>
      <c r="C137" t="n">
        <v>20034.388301488</v>
      </c>
      <c r="D137" t="n">
        <v>0</v>
      </c>
      <c r="E137" t="n">
        <v>1</v>
      </c>
    </row>
    <row r="138">
      <c r="A138" t="inlineStr">
        <is>
          <t>EL EBRO</t>
        </is>
      </c>
      <c r="B138" t="n">
        <v>168677.66</v>
      </c>
      <c r="C138" t="n">
        <v>0</v>
      </c>
      <c r="D138" t="n">
        <v>58511</v>
      </c>
      <c r="E138" t="n">
        <v>1</v>
      </c>
    </row>
    <row r="139">
      <c r="A139" t="inlineStr">
        <is>
          <t>EL MEXICANO</t>
        </is>
      </c>
      <c r="B139" t="n">
        <v>1.48</v>
      </c>
      <c r="C139" t="n">
        <v>0</v>
      </c>
      <c r="D139" t="n">
        <v>1</v>
      </c>
      <c r="E139" t="n">
        <v>1</v>
      </c>
    </row>
    <row r="140">
      <c r="A140" t="inlineStr">
        <is>
          <t>EL VIEJO LUIS</t>
        </is>
      </c>
      <c r="B140" t="n">
        <v>123.88</v>
      </c>
      <c r="C140" t="n">
        <v>0</v>
      </c>
      <c r="D140" t="n">
        <v>44</v>
      </c>
      <c r="E140" t="n">
        <v>1</v>
      </c>
    </row>
    <row r="141">
      <c r="A141" t="inlineStr">
        <is>
          <t>ENJOY</t>
        </is>
      </c>
      <c r="B141" t="n">
        <v>30508.88</v>
      </c>
      <c r="C141" t="n">
        <v>0</v>
      </c>
      <c r="D141" t="n">
        <v>3834</v>
      </c>
      <c r="E141" t="n">
        <v>1</v>
      </c>
    </row>
    <row r="142">
      <c r="A142" t="inlineStr">
        <is>
          <t>ESCAL</t>
        </is>
      </c>
      <c r="B142" t="n">
        <v>61.96</v>
      </c>
      <c r="C142" t="n">
        <v>0</v>
      </c>
      <c r="D142" t="n">
        <v>4</v>
      </c>
      <c r="E142" t="n">
        <v>1</v>
      </c>
    </row>
    <row r="143">
      <c r="A143" t="inlineStr">
        <is>
          <t>EVA</t>
        </is>
      </c>
      <c r="B143" t="n">
        <v>435.51</v>
      </c>
      <c r="C143" t="n">
        <v>0</v>
      </c>
      <c r="D143" t="n">
        <v>153</v>
      </c>
      <c r="E143" t="n">
        <v>1</v>
      </c>
    </row>
    <row r="144">
      <c r="A144" t="inlineStr">
        <is>
          <t>EVEBA</t>
        </is>
      </c>
      <c r="B144" t="n">
        <v>152.72</v>
      </c>
      <c r="C144" t="n">
        <v>0</v>
      </c>
      <c r="D144" t="n">
        <v>46</v>
      </c>
      <c r="E144" t="n">
        <v>1</v>
      </c>
    </row>
    <row r="145">
      <c r="A145" t="inlineStr">
        <is>
          <t>FARMHOUSE</t>
        </is>
      </c>
      <c r="B145" t="n">
        <v>-2.24</v>
      </c>
      <c r="C145" t="n">
        <v>0</v>
      </c>
      <c r="D145" t="n">
        <v>-2</v>
      </c>
      <c r="E145" t="n">
        <v>1</v>
      </c>
    </row>
    <row r="146">
      <c r="A146" t="inlineStr">
        <is>
          <t>FILLO'S</t>
        </is>
      </c>
      <c r="B146" t="n">
        <v>1426497.91</v>
      </c>
      <c r="C146" t="n">
        <v>40000.86985531102</v>
      </c>
      <c r="D146" t="n">
        <v>699713</v>
      </c>
      <c r="E146" t="n">
        <v>0</v>
      </c>
    </row>
    <row r="147">
      <c r="A147" t="inlineStr">
        <is>
          <t>FINOLA</t>
        </is>
      </c>
      <c r="B147" t="n">
        <v>19921.05</v>
      </c>
      <c r="C147" t="n">
        <v>0</v>
      </c>
      <c r="D147" t="n">
        <v>12272</v>
      </c>
      <c r="E147" t="n">
        <v>1</v>
      </c>
    </row>
    <row r="148">
      <c r="A148" t="inlineStr">
        <is>
          <t>FIORELLA'S JACK STACK BARBECUE</t>
        </is>
      </c>
      <c r="B148" t="n">
        <v>104331.92</v>
      </c>
      <c r="C148" t="n">
        <v>1428.630009888</v>
      </c>
      <c r="D148" t="n">
        <v>13922</v>
      </c>
      <c r="E148" t="n">
        <v>0</v>
      </c>
    </row>
    <row r="149">
      <c r="A149" t="inlineStr">
        <is>
          <t>FISH</t>
        </is>
      </c>
      <c r="B149" t="n">
        <v>26.52</v>
      </c>
      <c r="C149" t="n">
        <v>0</v>
      </c>
      <c r="D149" t="n">
        <v>3.02</v>
      </c>
      <c r="E149" t="n">
        <v>1</v>
      </c>
    </row>
    <row r="150">
      <c r="A150" t="inlineStr">
        <is>
          <t>FLUKER'S</t>
        </is>
      </c>
      <c r="B150" t="n">
        <v>1264.15</v>
      </c>
      <c r="C150" t="n">
        <v>0</v>
      </c>
      <c r="D150" t="n">
        <v>291</v>
      </c>
      <c r="E150" t="n">
        <v>1</v>
      </c>
    </row>
    <row r="151">
      <c r="A151" t="inlineStr">
        <is>
          <t>FOOD MERCHANT</t>
        </is>
      </c>
      <c r="B151" t="n">
        <v>51.32</v>
      </c>
      <c r="C151" t="n">
        <v>0</v>
      </c>
      <c r="D151" t="n">
        <v>1</v>
      </c>
      <c r="E151" t="n">
        <v>1</v>
      </c>
    </row>
    <row r="152">
      <c r="A152" t="inlineStr">
        <is>
          <t>FOOD NETWORK</t>
        </is>
      </c>
      <c r="B152" t="n">
        <v>1.26</v>
      </c>
      <c r="C152" t="n">
        <v>0</v>
      </c>
      <c r="D152" t="n">
        <v>1</v>
      </c>
      <c r="E152" t="n">
        <v>1</v>
      </c>
    </row>
    <row r="153">
      <c r="A153" t="inlineStr">
        <is>
          <t>FOOD NETWORK KITCHEN INSPIRATIONS</t>
        </is>
      </c>
      <c r="B153" t="n">
        <v>4.03</v>
      </c>
      <c r="C153" t="n">
        <v>0</v>
      </c>
      <c r="D153" t="n">
        <v>2</v>
      </c>
      <c r="E153" t="n">
        <v>1</v>
      </c>
    </row>
    <row r="154">
      <c r="A154" t="inlineStr">
        <is>
          <t>FORUNEED</t>
        </is>
      </c>
      <c r="B154" t="n">
        <v>0</v>
      </c>
      <c r="C154" t="n">
        <v>25.664444566</v>
      </c>
      <c r="D154" t="n">
        <v>0</v>
      </c>
      <c r="E154" t="n">
        <v>1</v>
      </c>
    </row>
    <row r="155">
      <c r="A155" t="inlineStr">
        <is>
          <t>FOSTER FARMS</t>
        </is>
      </c>
      <c r="B155" t="n">
        <v>2112170.31</v>
      </c>
      <c r="C155" t="n">
        <v>0</v>
      </c>
      <c r="D155" t="n">
        <v>458220</v>
      </c>
      <c r="E155" t="n">
        <v>1</v>
      </c>
    </row>
    <row r="156">
      <c r="A156" t="inlineStr">
        <is>
          <t>FRENCH'S</t>
        </is>
      </c>
      <c r="B156" t="n">
        <v>6.5</v>
      </c>
      <c r="C156" t="n">
        <v>0</v>
      </c>
      <c r="D156" t="n">
        <v>7</v>
      </c>
      <c r="E156" t="n">
        <v>1</v>
      </c>
    </row>
    <row r="157">
      <c r="A157" t="inlineStr">
        <is>
          <t>FRESHE</t>
        </is>
      </c>
      <c r="B157" t="n">
        <v>641570.53</v>
      </c>
      <c r="C157" t="n">
        <v>31784.160429792</v>
      </c>
      <c r="D157" t="n">
        <v>176491</v>
      </c>
      <c r="E157" t="n">
        <v>0</v>
      </c>
    </row>
    <row r="158">
      <c r="A158" t="inlineStr">
        <is>
          <t>FRESHNESS GUARANTEED</t>
        </is>
      </c>
      <c r="B158" t="n">
        <v>46564.58</v>
      </c>
      <c r="C158" t="n">
        <v>0</v>
      </c>
      <c r="D158" t="n">
        <v>8606</v>
      </c>
      <c r="E158" t="n">
        <v>1</v>
      </c>
    </row>
    <row r="159">
      <c r="A159" t="inlineStr">
        <is>
          <t>FRUITIQUE</t>
        </is>
      </c>
      <c r="B159" t="n">
        <v>87015.2</v>
      </c>
      <c r="C159" t="n">
        <v>0</v>
      </c>
      <c r="D159" t="n">
        <v>51186</v>
      </c>
      <c r="E159" t="n">
        <v>1</v>
      </c>
    </row>
    <row r="160">
      <c r="A160" t="inlineStr">
        <is>
          <t>GALIL</t>
        </is>
      </c>
      <c r="B160" t="n">
        <v>12.7</v>
      </c>
      <c r="C160" t="n">
        <v>0</v>
      </c>
      <c r="D160" t="n">
        <v>5</v>
      </c>
      <c r="E160" t="n">
        <v>1</v>
      </c>
    </row>
    <row r="161">
      <c r="A161" t="inlineStr">
        <is>
          <t>GARDEIN</t>
        </is>
      </c>
      <c r="B161" t="n">
        <v>196380.230000003</v>
      </c>
      <c r="C161" t="n">
        <v>0</v>
      </c>
      <c r="D161" t="n">
        <v>68317</v>
      </c>
      <c r="E161" t="n">
        <v>1</v>
      </c>
    </row>
    <row r="162">
      <c r="A162" t="inlineStr">
        <is>
          <t>GAUCHO RANCH</t>
        </is>
      </c>
      <c r="B162" t="n">
        <v>308.76</v>
      </c>
      <c r="C162" t="n">
        <v>0</v>
      </c>
      <c r="D162" t="n">
        <v>62</v>
      </c>
      <c r="E162" t="n">
        <v>1</v>
      </c>
    </row>
    <row r="163">
      <c r="A163" t="inlineStr">
        <is>
          <t>GEISHA</t>
        </is>
      </c>
      <c r="B163" t="n">
        <v>18532524.325</v>
      </c>
      <c r="C163" t="n">
        <v>0</v>
      </c>
      <c r="D163" t="n">
        <v>7525989</v>
      </c>
      <c r="E163" t="n">
        <v>1</v>
      </c>
    </row>
    <row r="164">
      <c r="A164" t="inlineStr">
        <is>
          <t>GENERIC</t>
        </is>
      </c>
      <c r="B164" t="n">
        <v>4315745.85</v>
      </c>
      <c r="C164" t="n">
        <v>0</v>
      </c>
      <c r="D164" t="n">
        <v>2245683</v>
      </c>
      <c r="E164" t="n">
        <v>1</v>
      </c>
    </row>
    <row r="165">
      <c r="A165" t="inlineStr">
        <is>
          <t>GENOVA</t>
        </is>
      </c>
      <c r="B165" t="n">
        <v>20013143.56775</v>
      </c>
      <c r="C165" t="n">
        <v>88536.56019711701</v>
      </c>
      <c r="D165" t="n">
        <v>7058399</v>
      </c>
      <c r="E165" t="n">
        <v>0</v>
      </c>
    </row>
    <row r="166">
      <c r="A166" t="inlineStr">
        <is>
          <t>GENOVA PRODUCTS</t>
        </is>
      </c>
      <c r="B166" t="n">
        <v>0</v>
      </c>
      <c r="C166" t="n">
        <v>84493.639847937</v>
      </c>
      <c r="D166" t="n">
        <v>0</v>
      </c>
      <c r="E166" t="n">
        <v>1</v>
      </c>
    </row>
    <row r="167">
      <c r="A167" t="inlineStr">
        <is>
          <t>GIA RUSSA</t>
        </is>
      </c>
      <c r="B167" t="n">
        <v>43721.02</v>
      </c>
      <c r="C167" t="n">
        <v>0</v>
      </c>
      <c r="D167" t="n">
        <v>1264</v>
      </c>
      <c r="E167" t="n">
        <v>1</v>
      </c>
    </row>
    <row r="168">
      <c r="A168" t="inlineStr">
        <is>
          <t>GIOVANNI</t>
        </is>
      </c>
      <c r="B168" t="n">
        <v>34096.9</v>
      </c>
      <c r="C168" t="n">
        <v>0</v>
      </c>
      <c r="D168" t="n">
        <v>15907</v>
      </c>
      <c r="E168" t="n">
        <v>1</v>
      </c>
    </row>
    <row r="169">
      <c r="A169" t="inlineStr">
        <is>
          <t>GIOVANNI FOODS</t>
        </is>
      </c>
      <c r="B169" t="n">
        <v>324635.29</v>
      </c>
      <c r="C169" t="n">
        <v>0</v>
      </c>
      <c r="D169" t="n">
        <v>153465</v>
      </c>
      <c r="E169" t="n">
        <v>1</v>
      </c>
    </row>
    <row r="170">
      <c r="A170" t="inlineStr">
        <is>
          <t>GIOVANNI RANA</t>
        </is>
      </c>
      <c r="B170" t="n">
        <v>0</v>
      </c>
      <c r="C170" t="n">
        <v>2782.802091939</v>
      </c>
      <c r="D170" t="n">
        <v>0</v>
      </c>
      <c r="E170" t="n">
        <v>1</v>
      </c>
    </row>
    <row r="171">
      <c r="A171" t="inlineStr">
        <is>
          <t>GOLD STAR CHILI</t>
        </is>
      </c>
      <c r="B171" t="n">
        <v>1446759.38</v>
      </c>
      <c r="C171" t="n">
        <v>0</v>
      </c>
      <c r="D171" t="n">
        <v>316299</v>
      </c>
      <c r="E171" t="n">
        <v>1</v>
      </c>
    </row>
    <row r="172">
      <c r="A172" t="inlineStr">
        <is>
          <t>GOODLES</t>
        </is>
      </c>
      <c r="B172" t="n">
        <v>7576044.800000001</v>
      </c>
      <c r="C172" t="n">
        <v>72659.11042086</v>
      </c>
      <c r="D172" t="n">
        <v>2461656</v>
      </c>
      <c r="E172" t="n">
        <v>0</v>
      </c>
    </row>
    <row r="173">
      <c r="A173" t="inlineStr">
        <is>
          <t>GOYA</t>
        </is>
      </c>
      <c r="B173" t="n">
        <v>2165328.1</v>
      </c>
      <c r="C173" t="n">
        <v>176.579999784</v>
      </c>
      <c r="D173" t="n">
        <v>983317</v>
      </c>
      <c r="E173" t="n">
        <v>0</v>
      </c>
    </row>
    <row r="174">
      <c r="A174" t="inlineStr">
        <is>
          <t>GRABILL COUNTRY MEATS</t>
        </is>
      </c>
      <c r="B174" t="n">
        <v>4448164.69</v>
      </c>
      <c r="C174" t="n">
        <v>0</v>
      </c>
      <c r="D174" t="n">
        <v>484446</v>
      </c>
      <c r="E174" t="n">
        <v>1</v>
      </c>
    </row>
    <row r="175">
      <c r="A175" t="inlineStr">
        <is>
          <t>GRACE</t>
        </is>
      </c>
      <c r="B175" t="n">
        <v>109387.19</v>
      </c>
      <c r="C175" t="n">
        <v>327.599998586</v>
      </c>
      <c r="D175" t="n">
        <v>78623</v>
      </c>
      <c r="E175" t="n">
        <v>0</v>
      </c>
      <c r="F175" t="n">
        <v>1</v>
      </c>
      <c r="G175" t="inlineStr">
        <is>
          <t>historic match with "grace" (score: 1.00)</t>
        </is>
      </c>
    </row>
    <row r="176">
      <c r="A176" t="inlineStr">
        <is>
          <t>GRACE FOODS</t>
        </is>
      </c>
      <c r="B176" t="n">
        <v>74870.95</v>
      </c>
      <c r="C176" t="n">
        <v>0.7599999909999999</v>
      </c>
      <c r="D176" t="n">
        <v>26479</v>
      </c>
      <c r="E176" t="n">
        <v>0</v>
      </c>
      <c r="F176" t="n">
        <v>1</v>
      </c>
      <c r="G176" t="inlineStr">
        <is>
          <t>historic match with "grace foods" (score: 1.00)</t>
        </is>
      </c>
    </row>
    <row r="177">
      <c r="A177" t="inlineStr">
        <is>
          <t>GRACE'S HOMESTYLE</t>
        </is>
      </c>
      <c r="B177" t="n">
        <v>22626.42</v>
      </c>
      <c r="C177" t="n">
        <v>0</v>
      </c>
      <c r="D177" t="n">
        <v>14570</v>
      </c>
      <c r="E177" t="n">
        <v>1</v>
      </c>
    </row>
    <row r="178">
      <c r="A178" t="inlineStr">
        <is>
          <t>GREAT VALUE</t>
        </is>
      </c>
      <c r="B178" t="n">
        <v>1321285901.279643</v>
      </c>
      <c r="C178" t="n">
        <v>11898.187124233</v>
      </c>
      <c r="D178" t="n">
        <v>652732513.8</v>
      </c>
      <c r="E178" t="n">
        <v>1</v>
      </c>
    </row>
    <row r="179">
      <c r="A179" t="inlineStr">
        <is>
          <t>GREEN GIANT</t>
        </is>
      </c>
      <c r="B179" t="n">
        <v>17792.34</v>
      </c>
      <c r="C179" t="n">
        <v>0</v>
      </c>
      <c r="D179" t="n">
        <v>4194</v>
      </c>
      <c r="E179" t="n">
        <v>1</v>
      </c>
    </row>
    <row r="180">
      <c r="A180" t="inlineStr">
        <is>
          <t>GREEN HEIGHTS</t>
        </is>
      </c>
      <c r="B180" t="n">
        <v>260.36</v>
      </c>
      <c r="C180" t="n">
        <v>0</v>
      </c>
      <c r="D180" t="n">
        <v>23</v>
      </c>
      <c r="E180" t="n">
        <v>1</v>
      </c>
    </row>
    <row r="181">
      <c r="A181" t="inlineStr">
        <is>
          <t>GRILLED CATCH</t>
        </is>
      </c>
      <c r="B181" t="n">
        <v>2.96</v>
      </c>
      <c r="C181" t="n">
        <v>0</v>
      </c>
      <c r="D181" t="n">
        <v>1</v>
      </c>
      <c r="E181" t="n">
        <v>1</v>
      </c>
    </row>
    <row r="182">
      <c r="A182" t="inlineStr">
        <is>
          <t>HALM'S ENTERPRISES</t>
        </is>
      </c>
      <c r="B182" t="n">
        <v>392.7</v>
      </c>
      <c r="C182" t="n">
        <v>0</v>
      </c>
      <c r="D182" t="n">
        <v>105</v>
      </c>
      <c r="E182" t="n">
        <v>1</v>
      </c>
    </row>
    <row r="183">
      <c r="A183" t="inlineStr">
        <is>
          <t>HEAD COUNTRY BAR-B-Q</t>
        </is>
      </c>
      <c r="B183" t="n">
        <v>29233.73</v>
      </c>
      <c r="C183" t="n">
        <v>0</v>
      </c>
      <c r="D183" t="n">
        <v>8584</v>
      </c>
      <c r="E183" t="n">
        <v>1</v>
      </c>
    </row>
    <row r="184">
      <c r="A184" t="inlineStr">
        <is>
          <t>HENRY &amp; LISA'S NATURAL SEAFOOD</t>
        </is>
      </c>
      <c r="B184" t="n">
        <v>1476</v>
      </c>
      <c r="C184" t="n">
        <v>0</v>
      </c>
      <c r="D184" t="n">
        <v>22</v>
      </c>
      <c r="E184" t="n">
        <v>1</v>
      </c>
    </row>
    <row r="185">
      <c r="A185" t="inlineStr">
        <is>
          <t>HEREFORD</t>
        </is>
      </c>
      <c r="B185" t="n">
        <v>9409156.635</v>
      </c>
      <c r="C185" t="n">
        <v>298529.463183409</v>
      </c>
      <c r="D185" t="n">
        <v>2244071</v>
      </c>
      <c r="E185" t="n">
        <v>0</v>
      </c>
    </row>
    <row r="186">
      <c r="A186" t="inlineStr">
        <is>
          <t>HERON POINT</t>
        </is>
      </c>
      <c r="B186" t="n">
        <v>-9.449999999999999</v>
      </c>
      <c r="C186" t="n">
        <v>0</v>
      </c>
      <c r="D186" t="n">
        <v>-1</v>
      </c>
      <c r="E186" t="n">
        <v>1</v>
      </c>
    </row>
    <row r="187">
      <c r="A187" t="inlineStr">
        <is>
          <t>HI JADE</t>
        </is>
      </c>
      <c r="B187" t="n">
        <v>135944.18</v>
      </c>
      <c r="C187" t="n">
        <v>0</v>
      </c>
      <c r="D187" t="n">
        <v>27309</v>
      </c>
      <c r="E187" t="n">
        <v>1</v>
      </c>
    </row>
    <row r="188">
      <c r="A188" t="inlineStr">
        <is>
          <t>HIDDEN VALLEY</t>
        </is>
      </c>
      <c r="B188" t="n">
        <v>0</v>
      </c>
      <c r="C188" t="n">
        <v>9219.500245759999</v>
      </c>
      <c r="D188" t="n">
        <v>0</v>
      </c>
      <c r="E188" t="n">
        <v>1</v>
      </c>
    </row>
    <row r="189">
      <c r="A189" t="inlineStr">
        <is>
          <t>HONEY BOY</t>
        </is>
      </c>
      <c r="B189" t="n">
        <v>8412150.507500008</v>
      </c>
      <c r="C189" t="n">
        <v>0</v>
      </c>
      <c r="D189" t="n">
        <v>2245640</v>
      </c>
      <c r="E189" t="n">
        <v>1</v>
      </c>
    </row>
    <row r="190">
      <c r="A190" t="inlineStr">
        <is>
          <t>HONEY SMOKED FISH</t>
        </is>
      </c>
      <c r="B190" t="n">
        <v>741103.0800000001</v>
      </c>
      <c r="C190" t="n">
        <v>1594.399996049</v>
      </c>
      <c r="D190" t="n">
        <v>156240</v>
      </c>
      <c r="E190" t="n">
        <v>0</v>
      </c>
    </row>
    <row r="191">
      <c r="A191" t="inlineStr">
        <is>
          <t>HORIZON ORGANIC</t>
        </is>
      </c>
      <c r="B191" t="n">
        <v>94.94999999999999</v>
      </c>
      <c r="C191" t="n">
        <v>125.539352787</v>
      </c>
      <c r="D191" t="n">
        <v>5</v>
      </c>
      <c r="E191" t="n">
        <v>0</v>
      </c>
    </row>
    <row r="192">
      <c r="A192" t="inlineStr">
        <is>
          <t>HORMEL</t>
        </is>
      </c>
      <c r="B192" t="n">
        <v>356793251.5136666</v>
      </c>
      <c r="C192" t="n">
        <v>3506504.770325472</v>
      </c>
      <c r="D192" t="n">
        <v>131138993.79</v>
      </c>
      <c r="E192" t="n">
        <v>0</v>
      </c>
    </row>
    <row r="193">
      <c r="A193" t="inlineStr">
        <is>
          <t>HORMELCHILI</t>
        </is>
      </c>
      <c r="B193" t="n">
        <v>0</v>
      </c>
      <c r="C193" t="n">
        <v>15.720000025</v>
      </c>
      <c r="D193" t="n">
        <v>0</v>
      </c>
      <c r="E193" t="n">
        <v>1</v>
      </c>
    </row>
    <row r="194">
      <c r="A194" t="inlineStr">
        <is>
          <t>HYPERMART</t>
        </is>
      </c>
      <c r="B194" t="n">
        <v>247126.77</v>
      </c>
      <c r="C194" t="n">
        <v>0</v>
      </c>
      <c r="D194" t="n">
        <v>34909.95</v>
      </c>
      <c r="E194" t="n">
        <v>1</v>
      </c>
    </row>
    <row r="195">
      <c r="A195" t="inlineStr">
        <is>
          <t>IBERIA</t>
        </is>
      </c>
      <c r="B195" t="n">
        <v>2908474.18</v>
      </c>
      <c r="C195" t="n">
        <v>0</v>
      </c>
      <c r="D195" t="n">
        <v>1398473</v>
      </c>
      <c r="E195" t="n">
        <v>1</v>
      </c>
    </row>
    <row r="196">
      <c r="A196" t="inlineStr">
        <is>
          <t>ICY POINT</t>
        </is>
      </c>
      <c r="B196" t="n">
        <v>5.32</v>
      </c>
      <c r="C196" t="n">
        <v>0</v>
      </c>
      <c r="D196" t="n">
        <v>2</v>
      </c>
      <c r="E196" t="n">
        <v>1</v>
      </c>
    </row>
    <row r="197">
      <c r="A197" t="inlineStr">
        <is>
          <t>IDAHOAN</t>
        </is>
      </c>
      <c r="B197" t="n">
        <v>105.06</v>
      </c>
      <c r="C197" t="n">
        <v>0</v>
      </c>
      <c r="D197" t="n">
        <v>83</v>
      </c>
      <c r="E197" t="n">
        <v>1</v>
      </c>
    </row>
    <row r="198">
      <c r="A198" t="inlineStr">
        <is>
          <t>INA</t>
        </is>
      </c>
      <c r="B198" t="n">
        <v>354.97</v>
      </c>
      <c r="C198" t="n">
        <v>0</v>
      </c>
      <c r="D198" t="n">
        <v>16</v>
      </c>
      <c r="E198" t="n">
        <v>1</v>
      </c>
    </row>
    <row r="199">
      <c r="A199" t="inlineStr">
        <is>
          <t>INABA</t>
        </is>
      </c>
      <c r="B199" t="n">
        <v>30675.66</v>
      </c>
      <c r="C199" t="n">
        <v>4650.514716017999</v>
      </c>
      <c r="D199" t="n">
        <v>959</v>
      </c>
      <c r="E199" t="n">
        <v>0</v>
      </c>
    </row>
    <row r="200">
      <c r="A200" t="inlineStr">
        <is>
          <t>INDOMIE</t>
        </is>
      </c>
      <c r="B200" t="n">
        <v>177.6</v>
      </c>
      <c r="C200" t="n">
        <v>0</v>
      </c>
      <c r="D200" t="n">
        <v>96</v>
      </c>
      <c r="E200" t="n">
        <v>1</v>
      </c>
    </row>
    <row r="201">
      <c r="A201" t="inlineStr">
        <is>
          <t>ISADORA</t>
        </is>
      </c>
      <c r="B201" t="n">
        <v>154715.36</v>
      </c>
      <c r="C201" t="n">
        <v>966.3900009839999</v>
      </c>
      <c r="D201" t="n">
        <v>29079</v>
      </c>
      <c r="E201" t="n">
        <v>0</v>
      </c>
    </row>
    <row r="202">
      <c r="A202" t="inlineStr">
        <is>
          <t>ITALY BRAND AMERICAN</t>
        </is>
      </c>
      <c r="B202" t="n">
        <v>13222.1</v>
      </c>
      <c r="C202" t="n">
        <v>0</v>
      </c>
      <c r="D202" t="n">
        <v>4793</v>
      </c>
      <c r="E202" t="n">
        <v>1</v>
      </c>
    </row>
    <row r="203">
      <c r="A203" t="inlineStr">
        <is>
          <t>JACK LINK'S</t>
        </is>
      </c>
      <c r="B203" t="n">
        <v>9290740.26</v>
      </c>
      <c r="C203" t="n">
        <v>96326.52549628701</v>
      </c>
      <c r="D203" t="n">
        <v>2579924</v>
      </c>
      <c r="E203" t="n">
        <v>0</v>
      </c>
    </row>
    <row r="204">
      <c r="A204" t="inlineStr">
        <is>
          <t>JADE FOOD PRODUCTS</t>
        </is>
      </c>
      <c r="B204" t="n">
        <v>81656.32000000001</v>
      </c>
      <c r="C204" t="n">
        <v>0</v>
      </c>
      <c r="D204" t="n">
        <v>16764</v>
      </c>
      <c r="E204" t="n">
        <v>1</v>
      </c>
    </row>
    <row r="205">
      <c r="A205" t="inlineStr">
        <is>
          <t>JADRANKA</t>
        </is>
      </c>
      <c r="B205" t="n">
        <v>250.58</v>
      </c>
      <c r="C205" t="n">
        <v>0</v>
      </c>
      <c r="D205" t="n">
        <v>134</v>
      </c>
      <c r="E205" t="n">
        <v>1</v>
      </c>
    </row>
    <row r="206">
      <c r="A206" t="inlineStr">
        <is>
          <t>JAMAICAN COUNTRY STYLE</t>
        </is>
      </c>
      <c r="B206" t="n">
        <v>181597.2</v>
      </c>
      <c r="C206" t="n">
        <v>0</v>
      </c>
      <c r="D206" t="n">
        <v>38153</v>
      </c>
      <c r="E206" t="n">
        <v>1</v>
      </c>
    </row>
    <row r="207">
      <c r="A207" t="inlineStr">
        <is>
          <t>JAMBALAYA GIRL</t>
        </is>
      </c>
      <c r="B207" t="n">
        <v>0</v>
      </c>
      <c r="C207" t="n">
        <v>139.229999138</v>
      </c>
      <c r="D207" t="n">
        <v>0</v>
      </c>
      <c r="E207" t="n">
        <v>1</v>
      </c>
    </row>
    <row r="208">
      <c r="A208" t="inlineStr">
        <is>
          <t>JIMMY DEAN</t>
        </is>
      </c>
      <c r="B208" t="n">
        <v>0</v>
      </c>
      <c r="C208" t="n">
        <v>9194.926725345002</v>
      </c>
      <c r="D208" t="n">
        <v>0</v>
      </c>
      <c r="E208" t="n">
        <v>1</v>
      </c>
    </row>
    <row r="209">
      <c r="A209" t="inlineStr">
        <is>
          <t>JOS OL</t>
        </is>
      </c>
      <c r="B209" t="n">
        <v>0</v>
      </c>
      <c r="C209" t="n">
        <v>23130.266155799</v>
      </c>
      <c r="D209" t="n">
        <v>0</v>
      </c>
      <c r="E209" t="n">
        <v>1</v>
      </c>
    </row>
    <row r="210">
      <c r="A210" t="inlineStr">
        <is>
          <t>JOVIAL</t>
        </is>
      </c>
      <c r="B210" t="n">
        <v>238571.569999999</v>
      </c>
      <c r="C210" t="n">
        <v>6079.179986672</v>
      </c>
      <c r="D210" t="n">
        <v>60392</v>
      </c>
      <c r="E210" t="n">
        <v>0</v>
      </c>
    </row>
    <row r="211">
      <c r="A211" t="inlineStr">
        <is>
          <t>JUST CRACK AN EGG</t>
        </is>
      </c>
      <c r="B211" t="n">
        <v>22.94</v>
      </c>
      <c r="C211" t="n">
        <v>0</v>
      </c>
      <c r="D211" t="n">
        <v>10</v>
      </c>
      <c r="E211" t="n">
        <v>1</v>
      </c>
    </row>
    <row r="212">
      <c r="A212" t="inlineStr">
        <is>
          <t>KA-ME</t>
        </is>
      </c>
      <c r="B212" t="n">
        <v>0</v>
      </c>
      <c r="C212" t="n">
        <v>256.6444456600001</v>
      </c>
      <c r="D212" t="n">
        <v>0</v>
      </c>
      <c r="E212" t="n">
        <v>1</v>
      </c>
    </row>
    <row r="213">
      <c r="A213" t="inlineStr">
        <is>
          <t>KAJUN KICK</t>
        </is>
      </c>
      <c r="B213" t="n">
        <v>70.16</v>
      </c>
      <c r="C213" t="n">
        <v>0</v>
      </c>
      <c r="D213" t="n">
        <v>8</v>
      </c>
      <c r="E213" t="n">
        <v>1</v>
      </c>
    </row>
    <row r="214">
      <c r="A214" t="inlineStr">
        <is>
          <t>KASIA'S</t>
        </is>
      </c>
      <c r="B214" t="n">
        <v>28137.95</v>
      </c>
      <c r="C214" t="n">
        <v>0</v>
      </c>
      <c r="D214" t="n">
        <v>6839</v>
      </c>
      <c r="E214" t="n">
        <v>1</v>
      </c>
    </row>
    <row r="215">
      <c r="A215" t="inlineStr">
        <is>
          <t>KEDEM</t>
        </is>
      </c>
      <c r="B215" t="n">
        <v>2345.74</v>
      </c>
      <c r="C215" t="n">
        <v>0</v>
      </c>
      <c r="D215" t="n">
        <v>446</v>
      </c>
      <c r="E215" t="n">
        <v>1</v>
      </c>
    </row>
    <row r="216">
      <c r="A216" t="inlineStr">
        <is>
          <t>KELLY'S</t>
        </is>
      </c>
      <c r="B216" t="n">
        <v>84729.47</v>
      </c>
      <c r="C216" t="n">
        <v>0</v>
      </c>
      <c r="D216" t="n">
        <v>33505</v>
      </c>
      <c r="E216" t="n">
        <v>1</v>
      </c>
    </row>
    <row r="217">
      <c r="A217" t="inlineStr">
        <is>
          <t>KETTLE &amp; FIRE</t>
        </is>
      </c>
      <c r="B217" t="n">
        <v>0</v>
      </c>
      <c r="C217" t="n">
        <v>140.419558547</v>
      </c>
      <c r="D217" t="n">
        <v>0</v>
      </c>
      <c r="E217" t="n">
        <v>1</v>
      </c>
    </row>
    <row r="218">
      <c r="A218" t="inlineStr">
        <is>
          <t>KEVIN'S NATURAL FOODS</t>
        </is>
      </c>
      <c r="B218" t="n">
        <v>29.01</v>
      </c>
      <c r="C218" t="n">
        <v>0</v>
      </c>
      <c r="D218" t="n">
        <v>3</v>
      </c>
      <c r="E218" t="n">
        <v>1</v>
      </c>
    </row>
    <row r="219">
      <c r="A219" t="inlineStr">
        <is>
          <t>KEYSTONE</t>
        </is>
      </c>
      <c r="B219" t="n">
        <v>23631519.42000001</v>
      </c>
      <c r="C219" t="n">
        <v>38117.69001245699</v>
      </c>
      <c r="D219" t="n">
        <v>3191195</v>
      </c>
      <c r="E219" t="n">
        <v>0</v>
      </c>
    </row>
    <row r="220">
      <c r="A220" t="inlineStr">
        <is>
          <t>KEYSTONE BEEF</t>
        </is>
      </c>
      <c r="B220" t="n">
        <v>18141306.51</v>
      </c>
      <c r="C220" t="n">
        <v>38145.73999210601</v>
      </c>
      <c r="D220" t="n">
        <v>1874716</v>
      </c>
      <c r="E220" t="n">
        <v>0</v>
      </c>
    </row>
    <row r="221">
      <c r="A221" t="inlineStr">
        <is>
          <t>KEYSTONE MEATS</t>
        </is>
      </c>
      <c r="B221" t="n">
        <v>998421.37</v>
      </c>
      <c r="C221" t="n">
        <v>5069.979996855001</v>
      </c>
      <c r="D221" t="n">
        <v>134941</v>
      </c>
      <c r="E221" t="n">
        <v>0</v>
      </c>
    </row>
    <row r="222">
      <c r="A222" t="inlineStr">
        <is>
          <t>KIKKOMAN</t>
        </is>
      </c>
      <c r="B222" t="n">
        <v>742.22</v>
      </c>
      <c r="C222" t="n">
        <v>109.030170745</v>
      </c>
      <c r="D222" t="n">
        <v>579</v>
      </c>
      <c r="E222" t="n">
        <v>0</v>
      </c>
    </row>
    <row r="223">
      <c r="A223" t="inlineStr">
        <is>
          <t>KIKUET</t>
        </is>
      </c>
      <c r="B223" t="n">
        <v>77531.03</v>
      </c>
      <c r="C223" t="n">
        <v>0</v>
      </c>
      <c r="D223" t="n">
        <v>21338</v>
      </c>
      <c r="E223" t="n">
        <v>1</v>
      </c>
    </row>
    <row r="224">
      <c r="A224" t="inlineStr">
        <is>
          <t>KING OSCAR</t>
        </is>
      </c>
      <c r="B224" t="n">
        <v>47432819.7505637</v>
      </c>
      <c r="C224" t="n">
        <v>399010.306561324</v>
      </c>
      <c r="D224" t="n">
        <v>16437229</v>
      </c>
      <c r="E224" t="n">
        <v>0</v>
      </c>
    </row>
    <row r="225">
      <c r="A225" t="inlineStr">
        <is>
          <t>KIRBY AND HOLLOWAY</t>
        </is>
      </c>
      <c r="B225" t="n">
        <v>114314.49</v>
      </c>
      <c r="C225" t="n">
        <v>0</v>
      </c>
      <c r="D225" t="n">
        <v>22802</v>
      </c>
      <c r="E225" t="n">
        <v>1</v>
      </c>
    </row>
    <row r="226">
      <c r="A226" t="inlineStr">
        <is>
          <t>KIRKLAND SIGNATURE</t>
        </is>
      </c>
      <c r="B226" t="n">
        <v>-44.27</v>
      </c>
      <c r="C226" t="n">
        <v>0</v>
      </c>
      <c r="D226" t="n">
        <v>-3</v>
      </c>
      <c r="E226" t="n">
        <v>1</v>
      </c>
    </row>
    <row r="227">
      <c r="A227" t="inlineStr">
        <is>
          <t>KITCHEN &amp; LOVE</t>
        </is>
      </c>
      <c r="B227" t="n">
        <v>1430229.16</v>
      </c>
      <c r="C227" t="n">
        <v>0</v>
      </c>
      <c r="D227" t="n">
        <v>410797</v>
      </c>
      <c r="E227" t="n">
        <v>1</v>
      </c>
    </row>
    <row r="228">
      <c r="A228" t="inlineStr">
        <is>
          <t>KNOTT'S FOODS</t>
        </is>
      </c>
      <c r="B228" t="n">
        <v>34746.25999999999</v>
      </c>
      <c r="C228" t="n">
        <v>0</v>
      </c>
      <c r="D228" t="n">
        <v>6121</v>
      </c>
      <c r="E228" t="n">
        <v>1</v>
      </c>
    </row>
    <row r="229">
      <c r="A229" t="inlineStr">
        <is>
          <t>KOKUBO</t>
        </is>
      </c>
      <c r="B229" t="n">
        <v>7207.09</v>
      </c>
      <c r="C229" t="n">
        <v>0</v>
      </c>
      <c r="D229" t="n">
        <v>2058</v>
      </c>
      <c r="E229" t="n">
        <v>1</v>
      </c>
    </row>
    <row r="230">
      <c r="A230" t="inlineStr">
        <is>
          <t>KRAFT</t>
        </is>
      </c>
      <c r="B230" t="n">
        <v>13.88</v>
      </c>
      <c r="C230" t="n">
        <v>0</v>
      </c>
      <c r="D230" t="n">
        <v>6</v>
      </c>
      <c r="E230" t="n">
        <v>1</v>
      </c>
    </row>
    <row r="231">
      <c r="A231" t="inlineStr">
        <is>
          <t>KRAS</t>
        </is>
      </c>
      <c r="B231" t="n">
        <v>7261.88</v>
      </c>
      <c r="C231" t="n">
        <v>0</v>
      </c>
      <c r="D231" t="n">
        <v>2310</v>
      </c>
      <c r="E231" t="n">
        <v>1</v>
      </c>
    </row>
    <row r="232">
      <c r="A232" t="inlineStr">
        <is>
          <t>KRAS DELAMARIS</t>
        </is>
      </c>
      <c r="B232" t="n">
        <v>81.12</v>
      </c>
      <c r="C232" t="n">
        <v>0</v>
      </c>
      <c r="D232" t="n">
        <v>26</v>
      </c>
      <c r="E232" t="n">
        <v>1</v>
      </c>
    </row>
    <row r="233">
      <c r="A233" t="inlineStr">
        <is>
          <t>KUSARI NOODLES</t>
        </is>
      </c>
      <c r="B233" t="n">
        <v>14.9</v>
      </c>
      <c r="C233" t="n">
        <v>0</v>
      </c>
      <c r="D233" t="n">
        <v>5</v>
      </c>
      <c r="E233" t="n">
        <v>1</v>
      </c>
    </row>
    <row r="234">
      <c r="A234" t="inlineStr">
        <is>
          <t>LA BUENA PESCA</t>
        </is>
      </c>
      <c r="B234" t="n">
        <v>1321.29</v>
      </c>
      <c r="C234" t="n">
        <v>0</v>
      </c>
      <c r="D234" t="n">
        <v>105.9</v>
      </c>
      <c r="E234" t="n">
        <v>1</v>
      </c>
    </row>
    <row r="235">
      <c r="A235" t="inlineStr">
        <is>
          <t>LA CENA</t>
        </is>
      </c>
      <c r="B235" t="n">
        <v>39218.62</v>
      </c>
      <c r="C235" t="n">
        <v>0</v>
      </c>
      <c r="D235" t="n">
        <v>19379</v>
      </c>
      <c r="E235" t="n">
        <v>1</v>
      </c>
    </row>
    <row r="236">
      <c r="A236" t="inlineStr">
        <is>
          <t>LA CENA BAJAMAR</t>
        </is>
      </c>
      <c r="B236" t="n">
        <v>6677.38</v>
      </c>
      <c r="C236" t="n">
        <v>0</v>
      </c>
      <c r="D236" t="n">
        <v>3887</v>
      </c>
      <c r="E236" t="n">
        <v>1</v>
      </c>
    </row>
    <row r="237">
      <c r="A237" t="inlineStr">
        <is>
          <t>LA CHOLITA</t>
        </is>
      </c>
      <c r="B237" t="n">
        <v>37977.17</v>
      </c>
      <c r="C237" t="n">
        <v>0</v>
      </c>
      <c r="D237" t="n">
        <v>9429</v>
      </c>
      <c r="E237" t="n">
        <v>1</v>
      </c>
    </row>
    <row r="238">
      <c r="A238" t="inlineStr">
        <is>
          <t>LA FE</t>
        </is>
      </c>
      <c r="B238" t="n">
        <v>317317.56</v>
      </c>
      <c r="C238" t="n">
        <v>0</v>
      </c>
      <c r="D238" t="n">
        <v>163081</v>
      </c>
      <c r="E238" t="n">
        <v>1</v>
      </c>
    </row>
    <row r="239">
      <c r="A239" t="inlineStr">
        <is>
          <t>LA GUADALUPANA</t>
        </is>
      </c>
      <c r="B239" t="n">
        <v>37675.71999999999</v>
      </c>
      <c r="C239" t="n">
        <v>0</v>
      </c>
      <c r="D239" t="n">
        <v>5780</v>
      </c>
      <c r="E239" t="n">
        <v>1</v>
      </c>
    </row>
    <row r="240">
      <c r="A240" t="inlineStr">
        <is>
          <t>LA PREFERIDA</t>
        </is>
      </c>
      <c r="B240" t="n">
        <v>528520.34</v>
      </c>
      <c r="C240" t="n">
        <v>0</v>
      </c>
      <c r="D240" t="n">
        <v>281019</v>
      </c>
      <c r="E240" t="n">
        <v>1</v>
      </c>
    </row>
    <row r="241">
      <c r="A241" t="inlineStr">
        <is>
          <t>LA SIRENA</t>
        </is>
      </c>
      <c r="B241" t="n">
        <v>186.12</v>
      </c>
      <c r="C241" t="n">
        <v>0</v>
      </c>
      <c r="D241" t="n">
        <v>2</v>
      </c>
      <c r="E241" t="n">
        <v>1</v>
      </c>
    </row>
    <row r="242">
      <c r="A242" t="inlineStr">
        <is>
          <t>LAS SEVILLANAS</t>
        </is>
      </c>
      <c r="B242" t="n">
        <v>27936.8</v>
      </c>
      <c r="C242" t="n">
        <v>0</v>
      </c>
      <c r="D242" t="n">
        <v>5680</v>
      </c>
      <c r="E242" t="n">
        <v>1</v>
      </c>
    </row>
    <row r="243">
      <c r="A243" t="inlineStr">
        <is>
          <t>LAWRY'S</t>
        </is>
      </c>
      <c r="B243" t="n">
        <v>69200.67</v>
      </c>
      <c r="C243" t="n">
        <v>0</v>
      </c>
      <c r="D243" t="n">
        <v>9155</v>
      </c>
      <c r="E243" t="n">
        <v>1</v>
      </c>
    </row>
    <row r="244">
      <c r="A244" t="inlineStr">
        <is>
          <t>LEB VLY</t>
        </is>
      </c>
      <c r="B244" t="n">
        <v>22.44</v>
      </c>
      <c r="C244" t="n">
        <v>0</v>
      </c>
      <c r="D244" t="n">
        <v>8</v>
      </c>
      <c r="E244" t="n">
        <v>1</v>
      </c>
    </row>
    <row r="245">
      <c r="A245" t="inlineStr">
        <is>
          <t>LEBANON VALLEY</t>
        </is>
      </c>
      <c r="B245" t="n">
        <v>658.49</v>
      </c>
      <c r="C245" t="n">
        <v>0</v>
      </c>
      <c r="D245" t="n">
        <v>249</v>
      </c>
      <c r="E245" t="n">
        <v>1</v>
      </c>
    </row>
    <row r="246">
      <c r="A246" t="inlineStr">
        <is>
          <t>LENTIFUL</t>
        </is>
      </c>
      <c r="B246" t="n">
        <v>25412.47</v>
      </c>
      <c r="C246" t="n">
        <v>1918.85000486</v>
      </c>
      <c r="D246" t="n">
        <v>7371</v>
      </c>
      <c r="E246" t="n">
        <v>0</v>
      </c>
    </row>
    <row r="247">
      <c r="A247" t="inlineStr">
        <is>
          <t>LIBBY'S</t>
        </is>
      </c>
      <c r="B247" t="n">
        <v>113367693.27</v>
      </c>
      <c r="C247" t="n">
        <v>0</v>
      </c>
      <c r="D247" t="n">
        <v>70603258</v>
      </c>
      <c r="E247" t="n">
        <v>1</v>
      </c>
    </row>
    <row r="248">
      <c r="A248" t="inlineStr">
        <is>
          <t>LIBERTY GOLD</t>
        </is>
      </c>
      <c r="B248" t="n">
        <v>180462.36</v>
      </c>
      <c r="C248" t="n">
        <v>0</v>
      </c>
      <c r="D248" t="n">
        <v>164651</v>
      </c>
      <c r="E248" t="n">
        <v>1</v>
      </c>
    </row>
    <row r="249">
      <c r="A249" t="inlineStr">
        <is>
          <t>LIVEOCEAN SEAFOODS</t>
        </is>
      </c>
      <c r="B249" t="n">
        <v>206941.56</v>
      </c>
      <c r="C249" t="n">
        <v>7720.939895539002</v>
      </c>
      <c r="D249" t="n">
        <v>18860</v>
      </c>
      <c r="E249" t="n">
        <v>0</v>
      </c>
    </row>
    <row r="250">
      <c r="A250" t="inlineStr">
        <is>
          <t>LOMA LINDA</t>
        </is>
      </c>
      <c r="B250" t="n">
        <v>151183.99</v>
      </c>
      <c r="C250" t="n">
        <v>0</v>
      </c>
      <c r="D250" t="n">
        <v>22418</v>
      </c>
      <c r="E250" t="n">
        <v>1</v>
      </c>
    </row>
    <row r="251">
      <c r="A251" t="inlineStr">
        <is>
          <t>LORETTA</t>
        </is>
      </c>
      <c r="B251" t="n">
        <v>-1.98</v>
      </c>
      <c r="C251" t="n">
        <v>0</v>
      </c>
      <c r="D251" t="n">
        <v>-1</v>
      </c>
      <c r="E251" t="n">
        <v>1</v>
      </c>
    </row>
    <row r="252">
      <c r="A252" t="inlineStr">
        <is>
          <t>LOTUS FOODS</t>
        </is>
      </c>
      <c r="B252" t="n">
        <v>9680.049999999999</v>
      </c>
      <c r="C252" t="n">
        <v>0</v>
      </c>
      <c r="D252" t="n">
        <v>4960.41</v>
      </c>
      <c r="E252" t="n">
        <v>1</v>
      </c>
    </row>
    <row r="253">
      <c r="A253" t="inlineStr">
        <is>
          <t>LOUIS KEMP</t>
        </is>
      </c>
      <c r="B253" t="n">
        <v>0</v>
      </c>
      <c r="C253" t="n">
        <v>2678.260016193</v>
      </c>
      <c r="D253" t="n">
        <v>0</v>
      </c>
      <c r="E253" t="n">
        <v>1</v>
      </c>
    </row>
    <row r="254">
      <c r="A254" t="inlineStr">
        <is>
          <t>LOUISIANA FISH FRY PRODUCTS</t>
        </is>
      </c>
      <c r="B254" t="n">
        <v>8436.68</v>
      </c>
      <c r="C254" t="n">
        <v>0</v>
      </c>
      <c r="D254" t="n">
        <v>591</v>
      </c>
      <c r="E254" t="n">
        <v>1</v>
      </c>
    </row>
    <row r="255">
      <c r="A255" t="inlineStr">
        <is>
          <t>LUCK'S</t>
        </is>
      </c>
      <c r="B255" t="n">
        <v>3.44</v>
      </c>
      <c r="C255" t="n">
        <v>0</v>
      </c>
      <c r="D255" t="n">
        <v>2</v>
      </c>
      <c r="E255" t="n">
        <v>1</v>
      </c>
    </row>
    <row r="256">
      <c r="A256" t="inlineStr">
        <is>
          <t>LUNDBERG FAMILY FARMS</t>
        </is>
      </c>
      <c r="B256" t="n">
        <v>784.9299999999999</v>
      </c>
      <c r="C256" t="n">
        <v>0</v>
      </c>
      <c r="D256" t="n">
        <v>36</v>
      </c>
      <c r="E256" t="n">
        <v>1</v>
      </c>
    </row>
    <row r="257">
      <c r="A257" t="inlineStr">
        <is>
          <t>MAC A RONI</t>
        </is>
      </c>
      <c r="B257" t="n">
        <v>2583080.61</v>
      </c>
      <c r="C257" t="n">
        <v>148424.157464781</v>
      </c>
      <c r="D257" t="n">
        <v>2366738</v>
      </c>
      <c r="E257" t="n">
        <v>0</v>
      </c>
    </row>
    <row r="258">
      <c r="A258" t="inlineStr">
        <is>
          <t>MADAM</t>
        </is>
      </c>
      <c r="B258" t="n">
        <v>16.02</v>
      </c>
      <c r="C258" t="n">
        <v>0</v>
      </c>
      <c r="D258" t="n">
        <v>9</v>
      </c>
      <c r="E258" t="n">
        <v>1</v>
      </c>
    </row>
    <row r="259">
      <c r="A259" t="inlineStr">
        <is>
          <t>MADAME GOUGOUSSE</t>
        </is>
      </c>
      <c r="B259" t="n">
        <v>15642.55</v>
      </c>
      <c r="C259" t="n">
        <v>0</v>
      </c>
      <c r="D259" t="n">
        <v>7230</v>
      </c>
      <c r="E259" t="n">
        <v>1</v>
      </c>
    </row>
    <row r="260">
      <c r="A260" t="inlineStr">
        <is>
          <t>MADE IN NATURE</t>
        </is>
      </c>
      <c r="B260" t="n">
        <v>27.28</v>
      </c>
      <c r="C260" t="n">
        <v>0</v>
      </c>
      <c r="D260" t="n">
        <v>1</v>
      </c>
      <c r="E260" t="n">
        <v>1</v>
      </c>
    </row>
    <row r="261">
      <c r="A261" t="inlineStr">
        <is>
          <t>MAGA</t>
        </is>
      </c>
      <c r="B261" t="n">
        <v>80056.39999999999</v>
      </c>
      <c r="C261" t="n">
        <v>0</v>
      </c>
      <c r="D261" t="n">
        <v>25049</v>
      </c>
      <c r="E261" t="n">
        <v>1</v>
      </c>
    </row>
    <row r="262">
      <c r="A262" t="inlineStr">
        <is>
          <t>MAGIC MAN</t>
        </is>
      </c>
      <c r="B262" t="n">
        <v>18024.87</v>
      </c>
      <c r="C262" t="n">
        <v>517.0799976840001</v>
      </c>
      <c r="D262" t="n">
        <v>4820</v>
      </c>
      <c r="E262" t="n">
        <v>0</v>
      </c>
    </row>
    <row r="263">
      <c r="A263" t="inlineStr">
        <is>
          <t>MAGNA-TILES</t>
        </is>
      </c>
      <c r="B263" t="n">
        <v>0</v>
      </c>
      <c r="C263" t="n">
        <v>730.6318181049996</v>
      </c>
      <c r="D263" t="n">
        <v>0</v>
      </c>
      <c r="E263" t="n">
        <v>1</v>
      </c>
    </row>
    <row r="264">
      <c r="A264" t="inlineStr">
        <is>
          <t>MAHATMA</t>
        </is>
      </c>
      <c r="B264" t="n">
        <v>806.4</v>
      </c>
      <c r="C264" t="n">
        <v>8804.013486175003</v>
      </c>
      <c r="D264" t="n">
        <v>899</v>
      </c>
      <c r="E264" t="n">
        <v>0</v>
      </c>
    </row>
    <row r="265">
      <c r="A265" t="inlineStr">
        <is>
          <t>MALHER</t>
        </is>
      </c>
      <c r="B265" t="n">
        <v>177.39</v>
      </c>
      <c r="C265" t="n">
        <v>0</v>
      </c>
      <c r="D265" t="n">
        <v>9</v>
      </c>
      <c r="E265" t="n">
        <v>1</v>
      </c>
    </row>
    <row r="266">
      <c r="A266" t="inlineStr">
        <is>
          <t>MAMA JULIA</t>
        </is>
      </c>
      <c r="B266" t="n">
        <v>17555.63</v>
      </c>
      <c r="C266" t="n">
        <v>233.489997856</v>
      </c>
      <c r="D266" t="n">
        <v>2528</v>
      </c>
      <c r="E266" t="n">
        <v>0</v>
      </c>
    </row>
    <row r="267">
      <c r="A267" t="inlineStr">
        <is>
          <t>MAMA SITA'S</t>
        </is>
      </c>
      <c r="B267" t="n">
        <v>0</v>
      </c>
      <c r="C267" t="n">
        <v>2.018480856</v>
      </c>
      <c r="D267" t="n">
        <v>0</v>
      </c>
      <c r="E267" t="n">
        <v>1</v>
      </c>
    </row>
    <row r="268">
      <c r="A268" t="inlineStr">
        <is>
          <t>MANISCHEWITZ</t>
        </is>
      </c>
      <c r="B268" t="n">
        <v>-8.08</v>
      </c>
      <c r="C268" t="n">
        <v>0</v>
      </c>
      <c r="D268" t="n">
        <v>-1</v>
      </c>
      <c r="E268" t="n">
        <v>1</v>
      </c>
    </row>
    <row r="269">
      <c r="A269" t="inlineStr">
        <is>
          <t>MANNA PRO</t>
        </is>
      </c>
      <c r="B269" t="n">
        <v>2008.8</v>
      </c>
      <c r="C269" t="n">
        <v>0</v>
      </c>
      <c r="D269" t="n">
        <v>310</v>
      </c>
      <c r="E269" t="n">
        <v>1</v>
      </c>
    </row>
    <row r="270">
      <c r="A270" t="inlineStr">
        <is>
          <t>MANWICH</t>
        </is>
      </c>
      <c r="B270" t="n">
        <v>104175093.72</v>
      </c>
      <c r="C270" t="n">
        <v>125401.495903989</v>
      </c>
      <c r="D270" t="n">
        <v>68795410</v>
      </c>
      <c r="E270" t="n">
        <v>0</v>
      </c>
    </row>
    <row r="271">
      <c r="A271" t="inlineStr">
        <is>
          <t>MARCO POLO</t>
        </is>
      </c>
      <c r="B271" t="n">
        <v>397865.41</v>
      </c>
      <c r="C271" t="n">
        <v>50.700000401</v>
      </c>
      <c r="D271" t="n">
        <v>92613</v>
      </c>
      <c r="E271" t="n">
        <v>0</v>
      </c>
    </row>
    <row r="272">
      <c r="A272" t="inlineStr">
        <is>
          <t>MARGARET HOLMES</t>
        </is>
      </c>
      <c r="B272" t="n">
        <v>1</v>
      </c>
      <c r="C272" t="n">
        <v>0</v>
      </c>
      <c r="D272" t="n">
        <v>1</v>
      </c>
      <c r="E272" t="n">
        <v>1</v>
      </c>
    </row>
    <row r="273">
      <c r="A273" t="inlineStr">
        <is>
          <t>MARIE CALLENDER'S</t>
        </is>
      </c>
      <c r="B273" t="n">
        <v>1212144.39</v>
      </c>
      <c r="C273" t="n">
        <v>0</v>
      </c>
      <c r="D273" t="n">
        <v>651216</v>
      </c>
      <c r="E273" t="n">
        <v>1</v>
      </c>
    </row>
    <row r="274">
      <c r="A274" t="inlineStr">
        <is>
          <t>MARKETSIDE</t>
        </is>
      </c>
      <c r="B274" t="n">
        <v>2016606.5</v>
      </c>
      <c r="C274" t="n">
        <v>0</v>
      </c>
      <c r="D274" t="n">
        <v>285686</v>
      </c>
      <c r="E274" t="n">
        <v>1</v>
      </c>
    </row>
    <row r="275">
      <c r="A275" t="inlineStr">
        <is>
          <t>MARUCHAN</t>
        </is>
      </c>
      <c r="B275" t="n">
        <v>298579.785000009</v>
      </c>
      <c r="C275" t="n">
        <v>0</v>
      </c>
      <c r="D275" t="n">
        <v>66840</v>
      </c>
      <c r="E275" t="n">
        <v>1</v>
      </c>
    </row>
    <row r="276">
      <c r="A276" t="inlineStr">
        <is>
          <t>MARY KITCHEN</t>
        </is>
      </c>
      <c r="B276" t="n">
        <v>85823276.72445238</v>
      </c>
      <c r="C276" t="n">
        <v>299162.824511103</v>
      </c>
      <c r="D276" t="n">
        <v>22360152</v>
      </c>
      <c r="E276" t="n">
        <v>0</v>
      </c>
    </row>
    <row r="277">
      <c r="A277" t="inlineStr">
        <is>
          <t>MARZETTI</t>
        </is>
      </c>
      <c r="B277" t="n">
        <v>29737.14</v>
      </c>
      <c r="C277" t="n">
        <v>0</v>
      </c>
      <c r="D277" t="n">
        <v>6958</v>
      </c>
      <c r="E277" t="n">
        <v>1</v>
      </c>
    </row>
    <row r="278">
      <c r="A278" t="inlineStr">
        <is>
          <t>MAYA KAIMAL</t>
        </is>
      </c>
      <c r="B278" t="n">
        <v>-4.42</v>
      </c>
      <c r="C278" t="n">
        <v>0</v>
      </c>
      <c r="D278" t="n">
        <v>-1</v>
      </c>
      <c r="E278" t="n">
        <v>1</v>
      </c>
    </row>
    <row r="279">
      <c r="A279" t="inlineStr">
        <is>
          <t>MCCORMICK</t>
        </is>
      </c>
      <c r="B279" t="n">
        <v>-44.28</v>
      </c>
      <c r="C279" t="n">
        <v>0</v>
      </c>
      <c r="D279" t="n">
        <v>-2</v>
      </c>
      <c r="E279" t="n">
        <v>1</v>
      </c>
    </row>
    <row r="280">
      <c r="A280" t="inlineStr">
        <is>
          <t>MEAL MART</t>
        </is>
      </c>
      <c r="B280" t="n">
        <v>15865.25</v>
      </c>
      <c r="C280" t="n">
        <v>0</v>
      </c>
      <c r="D280" t="n">
        <v>2342</v>
      </c>
      <c r="E280" t="n">
        <v>1</v>
      </c>
    </row>
    <row r="281">
      <c r="A281" t="inlineStr">
        <is>
          <t>MEAT SHREDZ</t>
        </is>
      </c>
      <c r="B281" t="n">
        <v>207082.96</v>
      </c>
      <c r="C281" t="n">
        <v>16877.519934667</v>
      </c>
      <c r="D281" t="n">
        <v>38062</v>
      </c>
      <c r="E281" t="n">
        <v>0</v>
      </c>
    </row>
    <row r="282">
      <c r="A282" t="inlineStr">
        <is>
          <t>MEGA</t>
        </is>
      </c>
      <c r="B282" t="n">
        <v>1</v>
      </c>
      <c r="C282" t="n">
        <v>0</v>
      </c>
      <c r="D282" t="n">
        <v>1</v>
      </c>
      <c r="E282" t="n">
        <v>1</v>
      </c>
    </row>
    <row r="283">
      <c r="A283" t="inlineStr">
        <is>
          <t>MEMBER'S MARK</t>
        </is>
      </c>
      <c r="B283" t="n">
        <v>34.4</v>
      </c>
      <c r="C283" t="n">
        <v>0</v>
      </c>
      <c r="D283" t="n">
        <v>5</v>
      </c>
      <c r="E283" t="n">
        <v>1</v>
      </c>
    </row>
    <row r="284">
      <c r="A284" t="inlineStr">
        <is>
          <t>MEZZETTA</t>
        </is>
      </c>
      <c r="B284" t="n">
        <v>1.98</v>
      </c>
      <c r="C284" t="n">
        <v>0</v>
      </c>
      <c r="D284" t="n">
        <v>1</v>
      </c>
      <c r="E284" t="n">
        <v>1</v>
      </c>
    </row>
    <row r="285">
      <c r="A285" t="inlineStr">
        <is>
          <t>MI CAMPO</t>
        </is>
      </c>
      <c r="B285" t="n">
        <v>4452.51</v>
      </c>
      <c r="C285" t="n">
        <v>0</v>
      </c>
      <c r="D285" t="n">
        <v>3293</v>
      </c>
      <c r="E285" t="n">
        <v>1</v>
      </c>
    </row>
    <row r="286">
      <c r="A286" t="inlineStr">
        <is>
          <t>MI GUATEMALA</t>
        </is>
      </c>
      <c r="B286" t="n">
        <v>100.31</v>
      </c>
      <c r="C286" t="n">
        <v>0</v>
      </c>
      <c r="D286" t="n">
        <v>7</v>
      </c>
      <c r="E286" t="n">
        <v>1</v>
      </c>
    </row>
    <row r="287">
      <c r="A287" t="inlineStr">
        <is>
          <t>MILPAS</t>
        </is>
      </c>
      <c r="B287" t="n">
        <v>186.06</v>
      </c>
      <c r="C287" t="n">
        <v>0</v>
      </c>
      <c r="D287" t="n">
        <v>35</v>
      </c>
      <c r="E287" t="n">
        <v>1</v>
      </c>
    </row>
    <row r="288">
      <c r="A288" t="inlineStr">
        <is>
          <t>MINA</t>
        </is>
      </c>
      <c r="B288" t="n">
        <v>30960.18</v>
      </c>
      <c r="C288" t="n">
        <v>0</v>
      </c>
      <c r="D288" t="n">
        <v>6895</v>
      </c>
      <c r="E288" t="n">
        <v>1</v>
      </c>
    </row>
    <row r="289">
      <c r="A289" t="inlineStr">
        <is>
          <t>MINSLEY</t>
        </is>
      </c>
      <c r="B289" t="n">
        <v>1.5</v>
      </c>
      <c r="C289" t="n">
        <v>0</v>
      </c>
      <c r="D289" t="n">
        <v>1</v>
      </c>
      <c r="E289" t="n">
        <v>1</v>
      </c>
    </row>
    <row r="290">
      <c r="A290" t="inlineStr">
        <is>
          <t>MINUTE</t>
        </is>
      </c>
      <c r="B290" t="n">
        <v>1401.5</v>
      </c>
      <c r="C290" t="n">
        <v>5636.284392670001</v>
      </c>
      <c r="D290" t="n">
        <v>663</v>
      </c>
      <c r="E290" t="n">
        <v>0</v>
      </c>
    </row>
    <row r="291">
      <c r="A291" t="inlineStr">
        <is>
          <t>MIRACLE NOODLE</t>
        </is>
      </c>
      <c r="B291" t="n">
        <v>2203.23</v>
      </c>
      <c r="C291" t="n">
        <v>0</v>
      </c>
      <c r="D291" t="n">
        <v>236</v>
      </c>
      <c r="E291" t="n">
        <v>1</v>
      </c>
    </row>
    <row r="292">
      <c r="A292" t="inlineStr">
        <is>
          <t>MIRACLE WHIP</t>
        </is>
      </c>
      <c r="B292" t="n">
        <v>0</v>
      </c>
      <c r="C292" t="n">
        <v>52.26000059500002</v>
      </c>
      <c r="D292" t="n">
        <v>0</v>
      </c>
      <c r="E292" t="n">
        <v>1</v>
      </c>
    </row>
    <row r="293">
      <c r="A293" t="inlineStr">
        <is>
          <t>MRS. ADLER'S</t>
        </is>
      </c>
      <c r="B293" t="n">
        <v>-4.78</v>
      </c>
      <c r="C293" t="n">
        <v>0</v>
      </c>
      <c r="D293" t="n">
        <v>-2</v>
      </c>
      <c r="E293" t="n">
        <v>1</v>
      </c>
    </row>
    <row r="294">
      <c r="A294" t="inlineStr">
        <is>
          <t>MTR</t>
        </is>
      </c>
      <c r="B294" t="n">
        <v>910.55</v>
      </c>
      <c r="C294" t="n">
        <v>0</v>
      </c>
      <c r="D294" t="n">
        <v>461</v>
      </c>
      <c r="E294" t="n">
        <v>1</v>
      </c>
    </row>
    <row r="295">
      <c r="A295" t="inlineStr">
        <is>
          <t>MW POLAR</t>
        </is>
      </c>
      <c r="B295" t="n">
        <v>10631260.25000001</v>
      </c>
      <c r="C295" t="n">
        <v>91154.18738034699</v>
      </c>
      <c r="D295" t="n">
        <v>4982552</v>
      </c>
      <c r="E295" t="n">
        <v>0</v>
      </c>
    </row>
    <row r="296">
      <c r="A296" t="inlineStr">
        <is>
          <t>N'DULCE</t>
        </is>
      </c>
      <c r="B296" t="n">
        <v>134.46</v>
      </c>
      <c r="C296" t="n">
        <v>0</v>
      </c>
      <c r="D296" t="n">
        <v>27</v>
      </c>
      <c r="E296" t="n">
        <v>1</v>
      </c>
    </row>
    <row r="297">
      <c r="A297" t="inlineStr">
        <is>
          <t>NAKED RICE</t>
        </is>
      </c>
      <c r="B297" t="n">
        <v>95.03999999999999</v>
      </c>
      <c r="C297" t="n">
        <v>0</v>
      </c>
      <c r="D297" t="n">
        <v>48</v>
      </c>
      <c r="E297" t="n">
        <v>1</v>
      </c>
    </row>
    <row r="298">
      <c r="A298" t="inlineStr">
        <is>
          <t>NALLEY</t>
        </is>
      </c>
      <c r="B298" t="n">
        <v>35236180.73999999</v>
      </c>
      <c r="C298" t="n">
        <v>0</v>
      </c>
      <c r="D298" t="n">
        <v>18212011</v>
      </c>
      <c r="E298" t="n">
        <v>1</v>
      </c>
    </row>
    <row r="299">
      <c r="A299" t="inlineStr">
        <is>
          <t>NASOYA</t>
        </is>
      </c>
      <c r="B299" t="n">
        <v>7.54</v>
      </c>
      <c r="C299" t="n">
        <v>0</v>
      </c>
      <c r="D299" t="n">
        <v>1</v>
      </c>
      <c r="E299" t="n">
        <v>1</v>
      </c>
    </row>
    <row r="300">
      <c r="A300" t="inlineStr">
        <is>
          <t>NATIONAL CONEY ISLAND</t>
        </is>
      </c>
      <c r="B300" t="n">
        <v>523912.09</v>
      </c>
      <c r="C300" t="n">
        <v>9776.350162418998</v>
      </c>
      <c r="D300" t="n">
        <v>100899</v>
      </c>
      <c r="E300" t="n">
        <v>0</v>
      </c>
    </row>
    <row r="301">
      <c r="A301" t="inlineStr">
        <is>
          <t>NATURAL SEA</t>
        </is>
      </c>
      <c r="B301" t="n">
        <v>5.05</v>
      </c>
      <c r="C301" t="n">
        <v>0</v>
      </c>
      <c r="D301" t="n">
        <v>1</v>
      </c>
      <c r="E301" t="n">
        <v>1</v>
      </c>
    </row>
    <row r="302">
      <c r="A302" t="inlineStr">
        <is>
          <t>NATURE'S EARTHLY CHOICE</t>
        </is>
      </c>
      <c r="B302" t="n">
        <v>26495.84</v>
      </c>
      <c r="C302" t="n">
        <v>0</v>
      </c>
      <c r="D302" t="n">
        <v>6340</v>
      </c>
      <c r="E302" t="n">
        <v>1</v>
      </c>
    </row>
    <row r="303">
      <c r="A303" t="inlineStr">
        <is>
          <t>NEAR EAST</t>
        </is>
      </c>
      <c r="B303" t="n">
        <v>37324.28</v>
      </c>
      <c r="C303" t="n">
        <v>0</v>
      </c>
      <c r="D303" t="n">
        <v>1125</v>
      </c>
      <c r="E303" t="n">
        <v>1</v>
      </c>
    </row>
    <row r="304">
      <c r="A304" t="inlineStr">
        <is>
          <t>NEAT</t>
        </is>
      </c>
      <c r="B304" t="n">
        <v>179.58</v>
      </c>
      <c r="C304" t="n">
        <v>0</v>
      </c>
      <c r="D304" t="n">
        <v>6</v>
      </c>
      <c r="E304" t="n">
        <v>1</v>
      </c>
    </row>
    <row r="305">
      <c r="A305" t="inlineStr">
        <is>
          <t>NEIGHBORLY FOOD CO.</t>
        </is>
      </c>
      <c r="B305" t="n">
        <v>5178.63</v>
      </c>
      <c r="C305" t="n">
        <v>0</v>
      </c>
      <c r="D305" t="n">
        <v>2093</v>
      </c>
      <c r="E305" t="n">
        <v>1</v>
      </c>
    </row>
    <row r="306">
      <c r="A306" t="inlineStr">
        <is>
          <t>NEILLY'S FOODS</t>
        </is>
      </c>
      <c r="B306" t="n">
        <v>5945.469999999999</v>
      </c>
      <c r="C306" t="n">
        <v>0</v>
      </c>
      <c r="D306" t="n">
        <v>1410</v>
      </c>
      <c r="E306" t="n">
        <v>1</v>
      </c>
    </row>
    <row r="307">
      <c r="A307" t="inlineStr">
        <is>
          <t>NISSIN</t>
        </is>
      </c>
      <c r="B307" t="n">
        <v>1255.2</v>
      </c>
      <c r="C307" t="n">
        <v>0</v>
      </c>
      <c r="D307" t="n">
        <v>80</v>
      </c>
      <c r="E307" t="n">
        <v>1</v>
      </c>
    </row>
    <row r="308">
      <c r="A308" t="inlineStr">
        <is>
          <t>NISSIN HOT &amp; SPICY FIRE WOK</t>
        </is>
      </c>
      <c r="B308" t="n">
        <v>9.24</v>
      </c>
      <c r="C308" t="n">
        <v>0</v>
      </c>
      <c r="D308" t="n">
        <v>1</v>
      </c>
      <c r="E308" t="n">
        <v>1</v>
      </c>
    </row>
    <row r="309">
      <c r="A309" t="inlineStr">
        <is>
          <t>NOBRAND</t>
        </is>
      </c>
      <c r="B309" t="n">
        <v>226.17</v>
      </c>
      <c r="C309" t="n">
        <v>0</v>
      </c>
      <c r="D309" t="n">
        <v>45</v>
      </c>
      <c r="E309" t="n">
        <v>1</v>
      </c>
    </row>
    <row r="310">
      <c r="A310" t="inlineStr">
        <is>
          <t>NONGSHIM</t>
        </is>
      </c>
      <c r="B310" t="n">
        <v>359796.54</v>
      </c>
      <c r="C310" t="n">
        <v>4104.589997302</v>
      </c>
      <c r="D310" t="n">
        <v>37153</v>
      </c>
      <c r="E310" t="n">
        <v>0</v>
      </c>
    </row>
    <row r="311">
      <c r="A311" t="inlineStr">
        <is>
          <t>NU-MEAT</t>
        </is>
      </c>
      <c r="B311" t="n">
        <v>487129.58</v>
      </c>
      <c r="C311" t="n">
        <v>0</v>
      </c>
      <c r="D311" t="n">
        <v>137040</v>
      </c>
      <c r="E311" t="n">
        <v>1</v>
      </c>
    </row>
    <row r="312">
      <c r="A312" t="inlineStr">
        <is>
          <t>NUMAR</t>
        </is>
      </c>
      <c r="B312" t="n">
        <v>789658.7000000001</v>
      </c>
      <c r="C312" t="n">
        <v>0</v>
      </c>
      <c r="D312" t="n">
        <v>685300</v>
      </c>
      <c r="E312" t="n">
        <v>1</v>
      </c>
    </row>
    <row r="313">
      <c r="A313" t="inlineStr">
        <is>
          <t>NUTRISYSTEM</t>
        </is>
      </c>
      <c r="B313" t="n">
        <v>550417.8599999999</v>
      </c>
      <c r="C313" t="n">
        <v>12447.593798771</v>
      </c>
      <c r="D313" t="n">
        <v>9117</v>
      </c>
      <c r="E313" t="n">
        <v>0</v>
      </c>
    </row>
    <row r="314">
      <c r="A314" t="inlineStr">
        <is>
          <t>OCEAN PRINCE</t>
        </is>
      </c>
      <c r="B314" t="n">
        <v>7.390000000000001</v>
      </c>
      <c r="C314" t="n">
        <v>0</v>
      </c>
      <c r="D314" t="n">
        <v>7</v>
      </c>
      <c r="E314" t="n">
        <v>1</v>
      </c>
    </row>
    <row r="315">
      <c r="A315" t="inlineStr">
        <is>
          <t>OCEAN'S</t>
        </is>
      </c>
      <c r="B315" t="n">
        <v>518170.44</v>
      </c>
      <c r="C315" t="n">
        <v>16740.860001012</v>
      </c>
      <c r="D315" t="n">
        <v>276995</v>
      </c>
      <c r="E315" t="n">
        <v>0</v>
      </c>
    </row>
    <row r="316">
      <c r="A316" t="inlineStr">
        <is>
          <t>OCEAN'S WILD</t>
        </is>
      </c>
      <c r="B316" t="n">
        <v>0</v>
      </c>
      <c r="C316" t="n">
        <v>188.539998666</v>
      </c>
      <c r="D316" t="n">
        <v>0</v>
      </c>
      <c r="E316" t="n">
        <v>1</v>
      </c>
    </row>
    <row r="317">
      <c r="A317" t="inlineStr">
        <is>
          <t>OLD HACIENDA</t>
        </is>
      </c>
      <c r="B317" t="n">
        <v>8629.120000000001</v>
      </c>
      <c r="C317" t="n">
        <v>0</v>
      </c>
      <c r="D317" t="n">
        <v>1489</v>
      </c>
      <c r="E317" t="n">
        <v>1</v>
      </c>
    </row>
    <row r="318">
      <c r="A318" t="inlineStr">
        <is>
          <t>ONBOARD</t>
        </is>
      </c>
      <c r="B318" t="n">
        <v>169556.57</v>
      </c>
      <c r="C318" t="n">
        <v>14524.860007374</v>
      </c>
      <c r="D318" t="n">
        <v>30125</v>
      </c>
      <c r="E318" t="n">
        <v>0</v>
      </c>
    </row>
    <row r="319">
      <c r="A319" t="inlineStr">
        <is>
          <t>ONLINE</t>
        </is>
      </c>
      <c r="B319" t="n">
        <v>11684.87</v>
      </c>
      <c r="C319" t="n">
        <v>0</v>
      </c>
      <c r="D319" t="n">
        <v>2474</v>
      </c>
      <c r="E319" t="n">
        <v>1</v>
      </c>
    </row>
    <row r="320">
      <c r="A320" t="inlineStr">
        <is>
          <t>ORLEANS FOODS</t>
        </is>
      </c>
      <c r="B320" t="n">
        <v>969.8000000000001</v>
      </c>
      <c r="C320" t="n">
        <v>0</v>
      </c>
      <c r="D320" t="n">
        <v>797</v>
      </c>
      <c r="E320" t="n">
        <v>1</v>
      </c>
    </row>
    <row r="321">
      <c r="A321" t="inlineStr">
        <is>
          <t>ORTEGA</t>
        </is>
      </c>
      <c r="B321" t="n">
        <v>21881.18</v>
      </c>
      <c r="C321" t="n">
        <v>69.80000104699999</v>
      </c>
      <c r="D321" t="n">
        <v>11090</v>
      </c>
      <c r="E321" t="n">
        <v>0</v>
      </c>
    </row>
    <row r="322">
      <c r="A322" t="inlineStr">
        <is>
          <t>ORTIZ</t>
        </is>
      </c>
      <c r="B322" t="n">
        <v>-14</v>
      </c>
      <c r="C322" t="n">
        <v>0</v>
      </c>
      <c r="D322" t="n">
        <v>-1</v>
      </c>
      <c r="E322" t="n">
        <v>1</v>
      </c>
    </row>
    <row r="323">
      <c r="A323" t="inlineStr">
        <is>
          <t>OX &amp; PALM</t>
        </is>
      </c>
      <c r="B323" t="n">
        <v>807886.9399999951</v>
      </c>
      <c r="C323" t="n">
        <v>7786.419983972998</v>
      </c>
      <c r="D323" t="n">
        <v>131731</v>
      </c>
      <c r="E323" t="n">
        <v>0</v>
      </c>
    </row>
    <row r="324">
      <c r="A324" t="inlineStr">
        <is>
          <t>PACIFIC FOODS</t>
        </is>
      </c>
      <c r="B324" t="n">
        <v>3585591.79</v>
      </c>
      <c r="C324" t="n">
        <v>6844.037757696</v>
      </c>
      <c r="D324" t="n">
        <v>1169544</v>
      </c>
      <c r="E324" t="n">
        <v>0</v>
      </c>
    </row>
    <row r="325">
      <c r="A325" t="inlineStr">
        <is>
          <t>PACIFIC PEARL</t>
        </is>
      </c>
      <c r="B325" t="n">
        <v>77523.64999999999</v>
      </c>
      <c r="C325" t="n">
        <v>9.749999881999999</v>
      </c>
      <c r="D325" t="n">
        <v>39623</v>
      </c>
      <c r="E325" t="n">
        <v>0</v>
      </c>
    </row>
    <row r="326">
      <c r="A326" t="inlineStr">
        <is>
          <t>PALACIO DE ORIENTE</t>
        </is>
      </c>
      <c r="B326" t="n">
        <v>2046.32</v>
      </c>
      <c r="C326" t="n">
        <v>0</v>
      </c>
      <c r="D326" t="n">
        <v>442</v>
      </c>
      <c r="E326" t="n">
        <v>1</v>
      </c>
    </row>
    <row r="327">
      <c r="A327" t="inlineStr">
        <is>
          <t>PALIRRIA</t>
        </is>
      </c>
      <c r="B327" t="n">
        <v>2.98</v>
      </c>
      <c r="C327" t="n">
        <v>0</v>
      </c>
      <c r="D327" t="n">
        <v>1</v>
      </c>
      <c r="E327" t="n">
        <v>1</v>
      </c>
    </row>
    <row r="328">
      <c r="A328" t="inlineStr">
        <is>
          <t>PAMPA</t>
        </is>
      </c>
      <c r="B328" t="n">
        <v>6983904.309999998</v>
      </c>
      <c r="C328" t="n">
        <v>10630.080172207</v>
      </c>
      <c r="D328" t="n">
        <v>2572801</v>
      </c>
      <c r="E328" t="n">
        <v>0</v>
      </c>
    </row>
    <row r="329">
      <c r="A329" t="inlineStr">
        <is>
          <t>PAMPLONA</t>
        </is>
      </c>
      <c r="B329" t="n">
        <v>221604.5</v>
      </c>
      <c r="C329" t="n">
        <v>0</v>
      </c>
      <c r="D329" t="n">
        <v>139089</v>
      </c>
      <c r="E329" t="n">
        <v>1</v>
      </c>
    </row>
    <row r="330">
      <c r="A330" t="inlineStr">
        <is>
          <t>PANAMEI SEAFOOD</t>
        </is>
      </c>
      <c r="B330" t="n">
        <v>518612.34</v>
      </c>
      <c r="C330" t="n">
        <v>0</v>
      </c>
      <c r="D330" t="n">
        <v>314410</v>
      </c>
      <c r="E330" t="n">
        <v>1</v>
      </c>
    </row>
    <row r="331">
      <c r="A331" t="inlineStr">
        <is>
          <t>PANDA SIGNATURE</t>
        </is>
      </c>
      <c r="B331" t="n">
        <v>838.4399999999999</v>
      </c>
      <c r="C331" t="n">
        <v>0</v>
      </c>
      <c r="D331" t="n">
        <v>865</v>
      </c>
      <c r="E331" t="n">
        <v>1</v>
      </c>
    </row>
    <row r="332">
      <c r="A332" t="inlineStr">
        <is>
          <t>PAPA TOM</t>
        </is>
      </c>
      <c r="B332" t="n">
        <v>1176.59</v>
      </c>
      <c r="C332" t="n">
        <v>0</v>
      </c>
      <c r="D332" t="n">
        <v>341</v>
      </c>
      <c r="E332" t="n">
        <v>1</v>
      </c>
    </row>
    <row r="333">
      <c r="A333" t="inlineStr">
        <is>
          <t>PASSAGE FOODS</t>
        </is>
      </c>
      <c r="B333" t="n">
        <v>1782.36</v>
      </c>
      <c r="C333" t="n">
        <v>0</v>
      </c>
      <c r="D333" t="n">
        <v>720</v>
      </c>
      <c r="E333" t="n">
        <v>1</v>
      </c>
    </row>
    <row r="334">
      <c r="A334" t="inlineStr">
        <is>
          <t>PASSAGE TO ASIA</t>
        </is>
      </c>
      <c r="B334" t="n">
        <v>0</v>
      </c>
      <c r="C334" t="n">
        <v>77.35999992899998</v>
      </c>
      <c r="D334" t="n">
        <v>0</v>
      </c>
      <c r="E334" t="n">
        <v>1</v>
      </c>
    </row>
    <row r="335">
      <c r="A335" t="inlineStr">
        <is>
          <t>PASSPORT CUISINE</t>
        </is>
      </c>
      <c r="B335" t="n">
        <v>13.98</v>
      </c>
      <c r="C335" t="n">
        <v>0</v>
      </c>
      <c r="D335" t="n">
        <v>1</v>
      </c>
      <c r="E335" t="n">
        <v>1</v>
      </c>
    </row>
    <row r="336">
      <c r="A336" t="inlineStr">
        <is>
          <t>PATEL</t>
        </is>
      </c>
      <c r="B336" t="n">
        <v>6446.21</v>
      </c>
      <c r="C336" t="n">
        <v>0</v>
      </c>
      <c r="D336" t="n">
        <v>209</v>
      </c>
      <c r="E336" t="n">
        <v>1</v>
      </c>
    </row>
    <row r="337">
      <c r="A337" t="inlineStr">
        <is>
          <t>PATEL'S</t>
        </is>
      </c>
      <c r="B337" t="n">
        <v>645.26</v>
      </c>
      <c r="C337" t="n">
        <v>0</v>
      </c>
      <c r="D337" t="n">
        <v>19</v>
      </c>
      <c r="E337" t="n">
        <v>1</v>
      </c>
    </row>
    <row r="338">
      <c r="A338" t="inlineStr">
        <is>
          <t>PATTERSON'S</t>
        </is>
      </c>
      <c r="B338" t="n">
        <v>1809113.94</v>
      </c>
      <c r="C338" t="n">
        <v>7222.100187410999</v>
      </c>
      <c r="D338" t="n">
        <v>201189</v>
      </c>
      <c r="E338" t="n">
        <v>0</v>
      </c>
    </row>
    <row r="339">
      <c r="A339" t="inlineStr">
        <is>
          <t>PEPPERIDGE FARM</t>
        </is>
      </c>
      <c r="B339" t="n">
        <v>7.74</v>
      </c>
      <c r="C339" t="n">
        <v>0</v>
      </c>
      <c r="D339" t="n">
        <v>7</v>
      </c>
      <c r="E339" t="n">
        <v>1</v>
      </c>
      <c r="F339" t="n">
        <v>2</v>
      </c>
      <c r="G339" t="inlineStr">
        <is>
          <t>historic match with "pepperidge farm" (score: 1.00)</t>
        </is>
      </c>
    </row>
    <row r="340">
      <c r="A340" t="inlineStr">
        <is>
          <t>PHILADELPHIA</t>
        </is>
      </c>
      <c r="B340" t="n">
        <v>2588.97</v>
      </c>
      <c r="C340" t="n">
        <v>0</v>
      </c>
      <c r="D340" t="n">
        <v>371</v>
      </c>
      <c r="E340" t="n">
        <v>1</v>
      </c>
    </row>
    <row r="341">
      <c r="A341" t="inlineStr">
        <is>
          <t>PICNIC</t>
        </is>
      </c>
      <c r="B341" t="n">
        <v>566617.74</v>
      </c>
      <c r="C341" t="n">
        <v>0</v>
      </c>
      <c r="D341" t="n">
        <v>537201</v>
      </c>
      <c r="E341" t="n">
        <v>1</v>
      </c>
    </row>
    <row r="342">
      <c r="A342" t="inlineStr">
        <is>
          <t>PILLAR ROCK</t>
        </is>
      </c>
      <c r="B342" t="n">
        <v>5909.090000000001</v>
      </c>
      <c r="C342" t="n">
        <v>0</v>
      </c>
      <c r="D342" t="n">
        <v>51</v>
      </c>
      <c r="E342" t="n">
        <v>1</v>
      </c>
    </row>
    <row r="343">
      <c r="A343" t="inlineStr">
        <is>
          <t>PINNACLE</t>
        </is>
      </c>
      <c r="B343" t="n">
        <v>5776940.42</v>
      </c>
      <c r="C343" t="n">
        <v>0</v>
      </c>
      <c r="D343" t="n">
        <v>1463846</v>
      </c>
      <c r="E343" t="n">
        <v>1</v>
      </c>
    </row>
    <row r="344">
      <c r="A344" t="inlineStr">
        <is>
          <t>PINTON</t>
        </is>
      </c>
      <c r="B344" t="n">
        <v>258.26</v>
      </c>
      <c r="C344" t="n">
        <v>0</v>
      </c>
      <c r="D344" t="n">
        <v>37</v>
      </c>
      <c r="E344" t="n">
        <v>1</v>
      </c>
    </row>
    <row r="345">
      <c r="A345" t="inlineStr">
        <is>
          <t>PLANTSTRONG</t>
        </is>
      </c>
      <c r="B345" t="n">
        <v>5977.39</v>
      </c>
      <c r="C345" t="n">
        <v>199.8800020960001</v>
      </c>
      <c r="D345" t="n">
        <v>1112</v>
      </c>
      <c r="E345" t="n">
        <v>0</v>
      </c>
    </row>
    <row r="346">
      <c r="A346" t="inlineStr">
        <is>
          <t>PODRAVKA</t>
        </is>
      </c>
      <c r="B346" t="n">
        <v>2574.49</v>
      </c>
      <c r="C346" t="n">
        <v>0</v>
      </c>
      <c r="D346" t="n">
        <v>611</v>
      </c>
      <c r="E346" t="n">
        <v>1</v>
      </c>
    </row>
    <row r="347">
      <c r="A347" t="inlineStr">
        <is>
          <t>POLAR</t>
        </is>
      </c>
      <c r="B347" t="n">
        <v>14282156.845</v>
      </c>
      <c r="C347" t="n">
        <v>61685.94488000701</v>
      </c>
      <c r="D347" t="n">
        <v>4875319</v>
      </c>
      <c r="E347" t="n">
        <v>0</v>
      </c>
    </row>
    <row r="348">
      <c r="A348" t="inlineStr">
        <is>
          <t>PORTOFINO</t>
        </is>
      </c>
      <c r="B348" t="n">
        <v>104.82</v>
      </c>
      <c r="C348" t="n">
        <v>0</v>
      </c>
      <c r="D348" t="n">
        <v>64</v>
      </c>
      <c r="E348" t="n">
        <v>1</v>
      </c>
    </row>
    <row r="349">
      <c r="A349" t="inlineStr">
        <is>
          <t>PRAIRIE BELT</t>
        </is>
      </c>
      <c r="B349" t="n">
        <v>4406975.17</v>
      </c>
      <c r="C349" t="n">
        <v>0</v>
      </c>
      <c r="D349" t="n">
        <v>3038613</v>
      </c>
      <c r="E349" t="n">
        <v>1</v>
      </c>
    </row>
    <row r="350">
      <c r="A350" t="inlineStr">
        <is>
          <t>PREP CHEF</t>
        </is>
      </c>
      <c r="B350" t="n">
        <v>1117745.19</v>
      </c>
      <c r="C350" t="n">
        <v>0</v>
      </c>
      <c r="D350" t="n">
        <v>129125</v>
      </c>
      <c r="E350" t="n">
        <v>1</v>
      </c>
    </row>
    <row r="351">
      <c r="A351" t="inlineStr">
        <is>
          <t>PRESTY FOODS</t>
        </is>
      </c>
      <c r="B351" t="n">
        <v>12184.27</v>
      </c>
      <c r="C351" t="n">
        <v>0</v>
      </c>
      <c r="D351" t="n">
        <v>6538</v>
      </c>
      <c r="E351" t="n">
        <v>1</v>
      </c>
    </row>
    <row r="352">
      <c r="A352" t="inlineStr">
        <is>
          <t>PRIDE OF INDIA</t>
        </is>
      </c>
      <c r="B352" t="n">
        <v>169.6</v>
      </c>
      <c r="C352" t="n">
        <v>0</v>
      </c>
      <c r="D352" t="n">
        <v>14</v>
      </c>
      <c r="E352" t="n">
        <v>1</v>
      </c>
    </row>
    <row r="353">
      <c r="A353" t="inlineStr">
        <is>
          <t>PROCESA</t>
        </is>
      </c>
      <c r="B353" t="n">
        <v>44.7</v>
      </c>
      <c r="C353" t="n">
        <v>0</v>
      </c>
      <c r="D353" t="n">
        <v>5</v>
      </c>
      <c r="E353" t="n">
        <v>1</v>
      </c>
    </row>
    <row r="354">
      <c r="A354" t="inlineStr">
        <is>
          <t>PROPER GOOD</t>
        </is>
      </c>
      <c r="B354" t="n">
        <v>876332.62</v>
      </c>
      <c r="C354" t="n">
        <v>201365.688353311</v>
      </c>
      <c r="D354" t="n">
        <v>179092</v>
      </c>
      <c r="E354" t="n">
        <v>0</v>
      </c>
    </row>
    <row r="355">
      <c r="A355" t="inlineStr">
        <is>
          <t>PUCK</t>
        </is>
      </c>
      <c r="B355" t="n">
        <v>219358.95</v>
      </c>
      <c r="C355" t="n">
        <v>0</v>
      </c>
      <c r="D355" t="n">
        <v>56724</v>
      </c>
      <c r="E355" t="n">
        <v>1</v>
      </c>
    </row>
    <row r="356">
      <c r="A356" t="inlineStr">
        <is>
          <t>QUAKER</t>
        </is>
      </c>
      <c r="B356" t="n">
        <v>227350.39</v>
      </c>
      <c r="C356" t="n">
        <v>0</v>
      </c>
      <c r="D356" t="n">
        <v>152900</v>
      </c>
      <c r="E356" t="n">
        <v>1</v>
      </c>
    </row>
    <row r="357">
      <c r="A357" t="inlineStr">
        <is>
          <t>RAGIN' CAJUN FIXINS</t>
        </is>
      </c>
      <c r="B357" t="n">
        <v>68177.02</v>
      </c>
      <c r="C357" t="n">
        <v>138.09999935</v>
      </c>
      <c r="D357" t="n">
        <v>19498</v>
      </c>
      <c r="E357" t="n">
        <v>0</v>
      </c>
    </row>
    <row r="358">
      <c r="A358" t="inlineStr">
        <is>
          <t>RAGIN' CAJUN FIXIN’S</t>
        </is>
      </c>
      <c r="B358" t="n">
        <v>12315.19</v>
      </c>
      <c r="C358" t="n">
        <v>92.889999719</v>
      </c>
      <c r="D358" t="n">
        <v>3339</v>
      </c>
      <c r="E358" t="n">
        <v>0</v>
      </c>
    </row>
    <row r="359">
      <c r="A359" t="inlineStr">
        <is>
          <t>RAGIN' CAJUN FOODS</t>
        </is>
      </c>
      <c r="B359" t="n">
        <v>128975.27</v>
      </c>
      <c r="C359" t="n">
        <v>1167.609998145</v>
      </c>
      <c r="D359" t="n">
        <v>36519</v>
      </c>
      <c r="E359" t="n">
        <v>0</v>
      </c>
    </row>
    <row r="360">
      <c r="A360" t="inlineStr">
        <is>
          <t>RAINCOAST TRADING</t>
        </is>
      </c>
      <c r="B360" t="n">
        <v>49.53</v>
      </c>
      <c r="C360" t="n">
        <v>0</v>
      </c>
      <c r="D360" t="n">
        <v>25</v>
      </c>
      <c r="E360" t="n">
        <v>1</v>
      </c>
    </row>
    <row r="361">
      <c r="A361" t="inlineStr">
        <is>
          <t>RAO'S HOMEMADE</t>
        </is>
      </c>
      <c r="B361" t="n">
        <v>195985.61</v>
      </c>
      <c r="C361" t="n">
        <v>0</v>
      </c>
      <c r="D361" t="n">
        <v>39613</v>
      </c>
      <c r="E361" t="n">
        <v>1</v>
      </c>
    </row>
    <row r="362">
      <c r="A362" t="inlineStr">
        <is>
          <t>RAY'S</t>
        </is>
      </c>
      <c r="B362" t="n">
        <v>8.520000000000003</v>
      </c>
      <c r="C362" t="n">
        <v>0</v>
      </c>
      <c r="D362" t="n">
        <v>3</v>
      </c>
      <c r="E362" t="n">
        <v>1</v>
      </c>
    </row>
    <row r="363">
      <c r="A363" t="inlineStr">
        <is>
          <t>REAL</t>
        </is>
      </c>
      <c r="B363" t="n">
        <v>19340.94</v>
      </c>
      <c r="C363" t="n">
        <v>0</v>
      </c>
      <c r="D363" t="n">
        <v>7197</v>
      </c>
      <c r="E363" t="n">
        <v>1</v>
      </c>
    </row>
    <row r="364">
      <c r="A364" t="inlineStr">
        <is>
          <t>RED BARON</t>
        </is>
      </c>
      <c r="B364" t="n">
        <v>0</v>
      </c>
      <c r="C364" t="n">
        <v>1168.14070428</v>
      </c>
      <c r="D364" t="n">
        <v>0</v>
      </c>
      <c r="E364" t="n">
        <v>1</v>
      </c>
    </row>
    <row r="365">
      <c r="A365" t="inlineStr">
        <is>
          <t>RED GOLD</t>
        </is>
      </c>
      <c r="B365" t="n">
        <v>1294.81</v>
      </c>
      <c r="C365" t="n">
        <v>0</v>
      </c>
      <c r="D365" t="n">
        <v>99</v>
      </c>
      <c r="E365" t="n">
        <v>1</v>
      </c>
    </row>
    <row r="366">
      <c r="A366" t="inlineStr">
        <is>
          <t>RED SMITH</t>
        </is>
      </c>
      <c r="B366" t="n">
        <v>217776.22</v>
      </c>
      <c r="C366" t="n">
        <v>0</v>
      </c>
      <c r="D366" t="n">
        <v>53589</v>
      </c>
      <c r="E366" t="n">
        <v>1</v>
      </c>
    </row>
    <row r="367">
      <c r="A367" t="inlineStr">
        <is>
          <t>REDONDO'S</t>
        </is>
      </c>
      <c r="B367" t="n">
        <v>8501.76</v>
      </c>
      <c r="C367" t="n">
        <v>0</v>
      </c>
      <c r="D367" t="n">
        <v>2624</v>
      </c>
      <c r="E367" t="n">
        <v>1</v>
      </c>
    </row>
    <row r="368">
      <c r="A368" t="inlineStr">
        <is>
          <t>REESE</t>
        </is>
      </c>
      <c r="B368" t="n">
        <v>3291814.16</v>
      </c>
      <c r="C368" t="n">
        <v>762.4599987860001</v>
      </c>
      <c r="D368" t="n">
        <v>1320855</v>
      </c>
      <c r="E368" t="n">
        <v>0</v>
      </c>
    </row>
    <row r="369">
      <c r="A369" t="inlineStr">
        <is>
          <t>REESE FANCY</t>
        </is>
      </c>
      <c r="B369" t="n">
        <v>1064.47</v>
      </c>
      <c r="C369" t="n">
        <v>0</v>
      </c>
      <c r="D369" t="n">
        <v>20</v>
      </c>
      <c r="E369" t="n">
        <v>1</v>
      </c>
    </row>
    <row r="370">
      <c r="A370" t="inlineStr">
        <is>
          <t>RESER'S FINE FOODS</t>
        </is>
      </c>
      <c r="B370" t="n">
        <v>136476.2</v>
      </c>
      <c r="C370" t="n">
        <v>0</v>
      </c>
      <c r="D370" t="n">
        <v>55884</v>
      </c>
      <c r="E370" t="n">
        <v>1</v>
      </c>
    </row>
    <row r="371">
      <c r="A371" t="inlineStr">
        <is>
          <t>RICA SARDINES</t>
        </is>
      </c>
      <c r="B371" t="n">
        <v>27289.98</v>
      </c>
      <c r="C371" t="n">
        <v>0</v>
      </c>
      <c r="D371" t="n">
        <v>28134</v>
      </c>
      <c r="E371" t="n">
        <v>1</v>
      </c>
    </row>
    <row r="372">
      <c r="A372" t="inlineStr">
        <is>
          <t>RICELAND</t>
        </is>
      </c>
      <c r="B372" t="n">
        <v>1.42</v>
      </c>
      <c r="C372" t="n">
        <v>0</v>
      </c>
      <c r="D372" t="n">
        <v>1</v>
      </c>
      <c r="E372" t="n">
        <v>1</v>
      </c>
    </row>
    <row r="373">
      <c r="A373" t="inlineStr">
        <is>
          <t>RICO CHEF</t>
        </is>
      </c>
      <c r="B373" t="n">
        <v>2780.89</v>
      </c>
      <c r="C373" t="n">
        <v>0</v>
      </c>
      <c r="D373" t="n">
        <v>1462</v>
      </c>
      <c r="E373" t="n">
        <v>1</v>
      </c>
    </row>
    <row r="374">
      <c r="A374" t="inlineStr">
        <is>
          <t>RIO MARE</t>
        </is>
      </c>
      <c r="B374" t="n">
        <v>53.2</v>
      </c>
      <c r="C374" t="n">
        <v>0</v>
      </c>
      <c r="D374" t="n">
        <v>5</v>
      </c>
      <c r="E374" t="n">
        <v>1</v>
      </c>
    </row>
    <row r="375">
      <c r="A375" t="inlineStr">
        <is>
          <t>ROCKYS</t>
        </is>
      </c>
      <c r="B375" t="n">
        <v>1530.62</v>
      </c>
      <c r="C375" t="n">
        <v>0</v>
      </c>
      <c r="D375" t="n">
        <v>373</v>
      </c>
      <c r="E375" t="n">
        <v>1</v>
      </c>
    </row>
    <row r="376">
      <c r="A376" t="inlineStr">
        <is>
          <t>ROLAND</t>
        </is>
      </c>
      <c r="B376" t="n">
        <v>3031466.809999998</v>
      </c>
      <c r="C376" t="n">
        <v>0</v>
      </c>
      <c r="D376" t="n">
        <v>810774</v>
      </c>
      <c r="E376" t="n">
        <v>1</v>
      </c>
    </row>
    <row r="377">
      <c r="A377" t="inlineStr">
        <is>
          <t>ROLAND FOODS</t>
        </is>
      </c>
      <c r="B377" t="n">
        <v>35830.89</v>
      </c>
      <c r="C377" t="n">
        <v>0</v>
      </c>
      <c r="D377" t="n">
        <v>9557</v>
      </c>
      <c r="E377" t="n">
        <v>1</v>
      </c>
    </row>
    <row r="378">
      <c r="A378" t="inlineStr">
        <is>
          <t>ROLLINGREENS</t>
        </is>
      </c>
      <c r="B378" t="n">
        <v>1811712</v>
      </c>
      <c r="C378" t="n">
        <v>29013.44007395699</v>
      </c>
      <c r="D378" t="n">
        <v>294367</v>
      </c>
      <c r="E378" t="n">
        <v>0</v>
      </c>
    </row>
    <row r="379">
      <c r="A379" t="inlineStr">
        <is>
          <t>ROOTS</t>
        </is>
      </c>
      <c r="B379" t="n">
        <v>45342.48</v>
      </c>
      <c r="C379" t="n">
        <v>0</v>
      </c>
      <c r="D379" t="n">
        <v>4736</v>
      </c>
      <c r="E379" t="n">
        <v>1</v>
      </c>
    </row>
    <row r="380">
      <c r="A380" t="inlineStr">
        <is>
          <t>ROSA</t>
        </is>
      </c>
      <c r="B380" t="n">
        <v>2804.56</v>
      </c>
      <c r="C380" t="n">
        <v>0</v>
      </c>
      <c r="D380" t="n">
        <v>1043</v>
      </c>
      <c r="E380" t="n">
        <v>1</v>
      </c>
    </row>
    <row r="381">
      <c r="A381" t="inlineStr">
        <is>
          <t>ROSE</t>
        </is>
      </c>
      <c r="B381" t="n">
        <v>813448.59</v>
      </c>
      <c r="C381" t="n">
        <v>0</v>
      </c>
      <c r="D381" t="n">
        <v>76572</v>
      </c>
      <c r="E381" t="n">
        <v>1</v>
      </c>
    </row>
    <row r="382">
      <c r="A382" t="inlineStr">
        <is>
          <t>ROSIES</t>
        </is>
      </c>
      <c r="B382" t="n">
        <v>2286.4</v>
      </c>
      <c r="C382" t="n">
        <v>0</v>
      </c>
      <c r="D382" t="n">
        <v>577</v>
      </c>
      <c r="E382" t="n">
        <v>1</v>
      </c>
    </row>
    <row r="383">
      <c r="A383" t="inlineStr">
        <is>
          <t>ROSIE’S</t>
        </is>
      </c>
      <c r="B383" t="n">
        <v>257.04</v>
      </c>
      <c r="C383" t="n">
        <v>0</v>
      </c>
      <c r="D383" t="n">
        <v>63</v>
      </c>
      <c r="E383" t="n">
        <v>1</v>
      </c>
    </row>
    <row r="384">
      <c r="A384" t="inlineStr">
        <is>
          <t>ROYAL</t>
        </is>
      </c>
      <c r="B384" t="n">
        <v>31731.97</v>
      </c>
      <c r="C384" t="n">
        <v>0</v>
      </c>
      <c r="D384" t="n">
        <v>8741</v>
      </c>
      <c r="E384" t="n">
        <v>1</v>
      </c>
    </row>
    <row r="385">
      <c r="A385" t="inlineStr">
        <is>
          <t>ROYAL CROWN</t>
        </is>
      </c>
      <c r="B385" t="n">
        <v>34.76</v>
      </c>
      <c r="C385" t="n">
        <v>0</v>
      </c>
      <c r="D385" t="n">
        <v>22</v>
      </c>
      <c r="E385" t="n">
        <v>1</v>
      </c>
    </row>
    <row r="386">
      <c r="A386" t="inlineStr">
        <is>
          <t>ROYAL INTIMACY</t>
        </is>
      </c>
      <c r="B386" t="n">
        <v>8232.43</v>
      </c>
      <c r="C386" t="n">
        <v>0</v>
      </c>
      <c r="D386" t="n">
        <v>2320</v>
      </c>
      <c r="E386" t="n">
        <v>1</v>
      </c>
    </row>
    <row r="387">
      <c r="A387" t="inlineStr">
        <is>
          <t>ROYAL RED</t>
        </is>
      </c>
      <c r="B387" t="n">
        <v>21.72</v>
      </c>
      <c r="C387" t="n">
        <v>0</v>
      </c>
      <c r="D387" t="n">
        <v>3</v>
      </c>
      <c r="E387" t="n">
        <v>1</v>
      </c>
    </row>
    <row r="388">
      <c r="A388" t="inlineStr">
        <is>
          <t>RUGEN FISCH</t>
        </is>
      </c>
      <c r="B388" t="n">
        <v>12080.84</v>
      </c>
      <c r="C388" t="n">
        <v>0</v>
      </c>
      <c r="D388" t="n">
        <v>4244</v>
      </c>
      <c r="E388" t="n">
        <v>1</v>
      </c>
    </row>
    <row r="389">
      <c r="A389" t="inlineStr">
        <is>
          <t>SADAF</t>
        </is>
      </c>
      <c r="B389" t="n">
        <v>4962.52</v>
      </c>
      <c r="C389" t="n">
        <v>0</v>
      </c>
      <c r="D389" t="n">
        <v>1279</v>
      </c>
      <c r="E389" t="n">
        <v>1</v>
      </c>
    </row>
    <row r="390">
      <c r="A390" t="inlineStr">
        <is>
          <t>SAFE CATCH</t>
        </is>
      </c>
      <c r="B390" t="n">
        <v>7063851.770000003</v>
      </c>
      <c r="C390" t="n">
        <v>173775.26269424</v>
      </c>
      <c r="D390" t="n">
        <v>2450339</v>
      </c>
      <c r="E390" t="n">
        <v>0</v>
      </c>
    </row>
    <row r="391">
      <c r="A391" t="inlineStr">
        <is>
          <t>SALBA CHIA</t>
        </is>
      </c>
      <c r="B391" t="n">
        <v>0</v>
      </c>
      <c r="C391" t="n">
        <v>29504.84688518001</v>
      </c>
      <c r="D391" t="n">
        <v>0</v>
      </c>
      <c r="E391" t="n">
        <v>1</v>
      </c>
    </row>
    <row r="392">
      <c r="A392" t="inlineStr">
        <is>
          <t>SAM'S CHOICE</t>
        </is>
      </c>
      <c r="B392" t="n">
        <v>1969.05</v>
      </c>
      <c r="C392" t="n">
        <v>0</v>
      </c>
      <c r="D392" t="n">
        <v>1211</v>
      </c>
      <c r="E392" t="n">
        <v>1</v>
      </c>
    </row>
    <row r="393">
      <c r="A393" t="inlineStr">
        <is>
          <t>SAMYANG</t>
        </is>
      </c>
      <c r="B393" t="n">
        <v>17580.53</v>
      </c>
      <c r="C393" t="n">
        <v>0</v>
      </c>
      <c r="D393" t="n">
        <v>1069</v>
      </c>
      <c r="E393" t="n">
        <v>1</v>
      </c>
    </row>
    <row r="394">
      <c r="A394" t="inlineStr">
        <is>
          <t>SAN MIG</t>
        </is>
      </c>
      <c r="B394" t="n">
        <v>14917.8</v>
      </c>
      <c r="C394" t="n">
        <v>0</v>
      </c>
      <c r="D394" t="n">
        <v>2757</v>
      </c>
      <c r="E394" t="n">
        <v>1</v>
      </c>
    </row>
    <row r="395">
      <c r="A395" t="inlineStr">
        <is>
          <t>SAN MIGUEL</t>
        </is>
      </c>
      <c r="B395" t="n">
        <v>5.52</v>
      </c>
      <c r="C395" t="n">
        <v>0</v>
      </c>
      <c r="D395" t="n">
        <v>1</v>
      </c>
      <c r="E395" t="n">
        <v>1</v>
      </c>
    </row>
    <row r="396">
      <c r="A396" t="inlineStr">
        <is>
          <t>SANTA BREMOR</t>
        </is>
      </c>
      <c r="B396" t="n">
        <v>-813.12</v>
      </c>
      <c r="C396" t="n">
        <v>0</v>
      </c>
      <c r="D396" t="n">
        <v>-65</v>
      </c>
      <c r="E396" t="n">
        <v>1</v>
      </c>
    </row>
    <row r="397">
      <c r="A397" t="inlineStr">
        <is>
          <t>SAUCY LIPS</t>
        </is>
      </c>
      <c r="B397" t="n">
        <v>33250.45</v>
      </c>
      <c r="C397" t="n">
        <v>0</v>
      </c>
      <c r="D397" t="n">
        <v>5628</v>
      </c>
      <c r="E397" t="n">
        <v>1</v>
      </c>
    </row>
    <row r="398">
      <c r="A398" t="inlineStr">
        <is>
          <t>SCHAR</t>
        </is>
      </c>
      <c r="B398" t="n">
        <v>3.08</v>
      </c>
      <c r="C398" t="n">
        <v>0</v>
      </c>
      <c r="D398" t="n">
        <v>1</v>
      </c>
      <c r="E398" t="n">
        <v>1</v>
      </c>
    </row>
    <row r="399">
      <c r="A399" t="inlineStr">
        <is>
          <t>SCHWEIGERT</t>
        </is>
      </c>
      <c r="B399" t="n">
        <v>3499.2</v>
      </c>
      <c r="C399" t="n">
        <v>0</v>
      </c>
      <c r="D399" t="n">
        <v>540</v>
      </c>
      <c r="E399" t="n">
        <v>1</v>
      </c>
    </row>
    <row r="400">
      <c r="A400" t="inlineStr">
        <is>
          <t>SCOUT</t>
        </is>
      </c>
      <c r="B400" t="n">
        <v>645417.39</v>
      </c>
      <c r="C400" t="n">
        <v>32060.609979492</v>
      </c>
      <c r="D400" t="n">
        <v>185833</v>
      </c>
      <c r="E400" t="n">
        <v>0</v>
      </c>
    </row>
    <row r="401">
      <c r="A401" t="inlineStr">
        <is>
          <t>SEA ALASKA</t>
        </is>
      </c>
      <c r="B401" t="n">
        <v>394951.72</v>
      </c>
      <c r="C401" t="n">
        <v>0</v>
      </c>
      <c r="D401" t="n">
        <v>84303</v>
      </c>
      <c r="E401" t="n">
        <v>1</v>
      </c>
    </row>
    <row r="402">
      <c r="A402" t="inlineStr">
        <is>
          <t>SEA CASTLE</t>
        </is>
      </c>
      <c r="B402" t="n">
        <v>58349.03999999999</v>
      </c>
      <c r="C402" t="n">
        <v>0</v>
      </c>
      <c r="D402" t="n">
        <v>33691</v>
      </c>
      <c r="E402" t="n">
        <v>1</v>
      </c>
    </row>
    <row r="403">
      <c r="A403" t="inlineStr">
        <is>
          <t>SEA TALES</t>
        </is>
      </c>
      <c r="B403" t="n">
        <v>1817619.08</v>
      </c>
      <c r="C403" t="n">
        <v>9449.420016273005</v>
      </c>
      <c r="D403" t="n">
        <v>439915</v>
      </c>
      <c r="E403" t="n">
        <v>0</v>
      </c>
    </row>
    <row r="404">
      <c r="A404" t="inlineStr">
        <is>
          <t>SEASON</t>
        </is>
      </c>
      <c r="B404" t="n">
        <v>28415051.3655</v>
      </c>
      <c r="C404" t="n">
        <v>79486.21948632698</v>
      </c>
      <c r="D404" t="n">
        <v>11578993</v>
      </c>
      <c r="E404" t="n">
        <v>0</v>
      </c>
    </row>
    <row r="405">
      <c r="A405" t="inlineStr">
        <is>
          <t>SEASON BRAND</t>
        </is>
      </c>
      <c r="B405" t="n">
        <v>2277830.29</v>
      </c>
      <c r="C405" t="n">
        <v>6723.459880988001</v>
      </c>
      <c r="D405" t="n">
        <v>779228</v>
      </c>
      <c r="E405" t="n">
        <v>0</v>
      </c>
    </row>
    <row r="406">
      <c r="A406" t="inlineStr">
        <is>
          <t>SEASONS</t>
        </is>
      </c>
      <c r="B406" t="n">
        <v>2823.57</v>
      </c>
      <c r="C406" t="n">
        <v>0</v>
      </c>
      <c r="D406" t="n">
        <v>492</v>
      </c>
      <c r="E406" t="n">
        <v>1</v>
      </c>
    </row>
    <row r="407">
      <c r="A407" t="inlineStr">
        <is>
          <t>SEEDS OF CHANGE</t>
        </is>
      </c>
      <c r="B407" t="n">
        <v>5260.77</v>
      </c>
      <c r="C407" t="n">
        <v>0</v>
      </c>
      <c r="D407" t="n">
        <v>139</v>
      </c>
      <c r="E407" t="n">
        <v>1</v>
      </c>
    </row>
    <row r="408">
      <c r="A408" t="inlineStr">
        <is>
          <t>SHAHIA</t>
        </is>
      </c>
      <c r="B408" t="n">
        <v>26575.58</v>
      </c>
      <c r="C408" t="n">
        <v>0</v>
      </c>
      <c r="D408" t="n">
        <v>12964</v>
      </c>
      <c r="E408" t="n">
        <v>1</v>
      </c>
    </row>
    <row r="409">
      <c r="A409" t="inlineStr">
        <is>
          <t>SHAN</t>
        </is>
      </c>
      <c r="B409" t="n">
        <v>-13.34</v>
      </c>
      <c r="C409" t="n">
        <v>0</v>
      </c>
      <c r="D409" t="n">
        <v>-2</v>
      </c>
      <c r="E409" t="n">
        <v>1</v>
      </c>
    </row>
    <row r="410">
      <c r="A410" t="inlineStr">
        <is>
          <t>SHORE LUNCH</t>
        </is>
      </c>
      <c r="B410" t="n">
        <v>2</v>
      </c>
      <c r="C410" t="n">
        <v>0</v>
      </c>
      <c r="D410" t="n">
        <v>1</v>
      </c>
      <c r="E410" t="n">
        <v>1</v>
      </c>
    </row>
    <row r="411">
      <c r="A411" t="inlineStr">
        <is>
          <t>SIDEAWAY FOODS</t>
        </is>
      </c>
      <c r="B411" t="n">
        <v>83417.59</v>
      </c>
      <c r="C411" t="n">
        <v>0</v>
      </c>
      <c r="D411" t="n">
        <v>27158</v>
      </c>
      <c r="E411" t="n">
        <v>1</v>
      </c>
    </row>
    <row r="412">
      <c r="A412" t="inlineStr">
        <is>
          <t>SIMPLE EATS</t>
        </is>
      </c>
      <c r="B412" t="n">
        <v>0.64</v>
      </c>
      <c r="C412" t="n">
        <v>0</v>
      </c>
      <c r="D412" t="n">
        <v>1</v>
      </c>
      <c r="E412" t="n">
        <v>1</v>
      </c>
    </row>
    <row r="413">
      <c r="A413" t="inlineStr">
        <is>
          <t>SKYLINE</t>
        </is>
      </c>
      <c r="B413" t="n">
        <v>1490261.160000004</v>
      </c>
      <c r="C413" t="n">
        <v>0</v>
      </c>
      <c r="D413" t="n">
        <v>277102</v>
      </c>
      <c r="E413" t="n">
        <v>1</v>
      </c>
    </row>
    <row r="414">
      <c r="A414" t="inlineStr">
        <is>
          <t>SKYLINE CHILI</t>
        </is>
      </c>
      <c r="B414" t="n">
        <v>13653347.85083334</v>
      </c>
      <c r="C414" t="n">
        <v>0</v>
      </c>
      <c r="D414" t="n">
        <v>2477819</v>
      </c>
      <c r="E414" t="n">
        <v>1</v>
      </c>
    </row>
    <row r="415">
      <c r="A415" t="inlineStr">
        <is>
          <t>SLAP YA MAMA</t>
        </is>
      </c>
      <c r="B415" t="n">
        <v>8.359999999999999</v>
      </c>
      <c r="C415" t="n">
        <v>0</v>
      </c>
      <c r="D415" t="n">
        <v>2</v>
      </c>
      <c r="E415" t="n">
        <v>1</v>
      </c>
    </row>
    <row r="416">
      <c r="A416" t="inlineStr">
        <is>
          <t>SLOW KETTLE</t>
        </is>
      </c>
      <c r="B416" t="n">
        <v>34620.31</v>
      </c>
      <c r="C416" t="n">
        <v>0</v>
      </c>
      <c r="D416" t="n">
        <v>11111</v>
      </c>
      <c r="E416" t="n">
        <v>1</v>
      </c>
    </row>
    <row r="417">
      <c r="A417" t="inlineStr">
        <is>
          <t>SMUCKER'S</t>
        </is>
      </c>
      <c r="B417" t="n">
        <v>17603.69</v>
      </c>
      <c r="C417" t="n">
        <v>0</v>
      </c>
      <c r="D417" t="n">
        <v>707</v>
      </c>
      <c r="E417" t="n">
        <v>1</v>
      </c>
    </row>
    <row r="418">
      <c r="A418" t="inlineStr">
        <is>
          <t>SNOW'S</t>
        </is>
      </c>
      <c r="B418" t="n">
        <v>21054194.61657143</v>
      </c>
      <c r="C418" t="n">
        <v>9456.170105199999</v>
      </c>
      <c r="D418" t="n">
        <v>9387910</v>
      </c>
      <c r="E418" t="n">
        <v>0</v>
      </c>
    </row>
    <row r="419">
      <c r="A419" t="inlineStr">
        <is>
          <t>SOL-MEX</t>
        </is>
      </c>
      <c r="B419" t="n">
        <v>2948566.829999999</v>
      </c>
      <c r="C419" t="n">
        <v>0</v>
      </c>
      <c r="D419" t="n">
        <v>1289377</v>
      </c>
      <c r="E419" t="n">
        <v>1</v>
      </c>
    </row>
    <row r="420">
      <c r="A420" t="inlineStr">
        <is>
          <t>SOMOS</t>
        </is>
      </c>
      <c r="B420" t="n">
        <v>11074.94</v>
      </c>
      <c r="C420" t="n">
        <v>57.678275739</v>
      </c>
      <c r="D420" t="n">
        <v>2998</v>
      </c>
      <c r="E420" t="n">
        <v>0</v>
      </c>
    </row>
    <row r="421">
      <c r="A421" t="inlineStr">
        <is>
          <t>SOUTHGATE</t>
        </is>
      </c>
      <c r="B421" t="n">
        <v>860119.0700000001</v>
      </c>
      <c r="C421" t="n">
        <v>0</v>
      </c>
      <c r="D421" t="n">
        <v>548832</v>
      </c>
      <c r="E421" t="n">
        <v>1</v>
      </c>
    </row>
    <row r="422">
      <c r="A422" t="inlineStr">
        <is>
          <t>SPAGHETTIOS</t>
        </is>
      </c>
      <c r="B422" t="n">
        <v>2.46</v>
      </c>
      <c r="C422" t="n">
        <v>0</v>
      </c>
      <c r="D422" t="n">
        <v>2</v>
      </c>
      <c r="E422" t="n">
        <v>1</v>
      </c>
    </row>
    <row r="423">
      <c r="A423" t="inlineStr">
        <is>
          <t>SPAM</t>
        </is>
      </c>
      <c r="B423" t="n">
        <v>324115284.9400001</v>
      </c>
      <c r="C423" t="n">
        <v>3260437.846862782</v>
      </c>
      <c r="D423" t="n">
        <v>83907389.46000001</v>
      </c>
      <c r="E423" t="n">
        <v>0</v>
      </c>
    </row>
    <row r="424">
      <c r="A424" t="inlineStr">
        <is>
          <t>SPICEWALLA</t>
        </is>
      </c>
      <c r="B424" t="n">
        <v>100258.69</v>
      </c>
      <c r="C424" t="n">
        <v>0</v>
      </c>
      <c r="D424" t="n">
        <v>61117</v>
      </c>
      <c r="E424" t="n">
        <v>1</v>
      </c>
    </row>
    <row r="425">
      <c r="A425" t="inlineStr">
        <is>
          <t>SPRAGUE</t>
        </is>
      </c>
      <c r="B425" t="n">
        <v>699588.8100000001</v>
      </c>
      <c r="C425" t="n">
        <v>12204.580034021</v>
      </c>
      <c r="D425" t="n">
        <v>226575</v>
      </c>
      <c r="E425" t="n">
        <v>0</v>
      </c>
    </row>
    <row r="426">
      <c r="A426" t="inlineStr">
        <is>
          <t>SPRAGUE FOODS</t>
        </is>
      </c>
      <c r="B426" t="n">
        <v>0</v>
      </c>
      <c r="C426" t="n">
        <v>33.139999834</v>
      </c>
      <c r="D426" t="n">
        <v>0</v>
      </c>
      <c r="E426" t="n">
        <v>1</v>
      </c>
    </row>
    <row r="427">
      <c r="A427" t="inlineStr">
        <is>
          <t>STAGG CHILI</t>
        </is>
      </c>
      <c r="B427" t="n">
        <v>20971354.93</v>
      </c>
      <c r="C427" t="n">
        <v>14570.400084722</v>
      </c>
      <c r="D427" t="n">
        <v>7971856</v>
      </c>
      <c r="E427" t="n">
        <v>0</v>
      </c>
    </row>
    <row r="428">
      <c r="A428" t="inlineStr">
        <is>
          <t>STAR</t>
        </is>
      </c>
      <c r="B428" t="n">
        <v>738.9</v>
      </c>
      <c r="C428" t="n">
        <v>0</v>
      </c>
      <c r="D428" t="n">
        <v>512</v>
      </c>
      <c r="E428" t="n">
        <v>1</v>
      </c>
    </row>
    <row r="429">
      <c r="A429" t="inlineStr">
        <is>
          <t>STARKIST</t>
        </is>
      </c>
      <c r="B429" t="n">
        <v>879441339.0308332</v>
      </c>
      <c r="C429" t="n">
        <v>2466576.897878835</v>
      </c>
      <c r="D429" t="n">
        <v>443249441.8</v>
      </c>
      <c r="E429" t="n">
        <v>0</v>
      </c>
    </row>
    <row r="430">
      <c r="A430" t="inlineStr">
        <is>
          <t>STARKIST SELECTS</t>
        </is>
      </c>
      <c r="B430" t="n">
        <v>8687066.700000001</v>
      </c>
      <c r="C430" t="n">
        <v>1056.580014108</v>
      </c>
      <c r="D430" t="n">
        <v>4376477</v>
      </c>
      <c r="E430" t="n">
        <v>0</v>
      </c>
    </row>
    <row r="431">
      <c r="A431" t="inlineStr">
        <is>
          <t>STARKIST®</t>
        </is>
      </c>
      <c r="B431" t="n">
        <v>19.18</v>
      </c>
      <c r="C431" t="n">
        <v>149.194820558</v>
      </c>
      <c r="D431" t="n">
        <v>7</v>
      </c>
      <c r="E431" t="n">
        <v>0</v>
      </c>
    </row>
    <row r="432">
      <c r="A432" t="inlineStr">
        <is>
          <t>STEAK 'N SHAKE</t>
        </is>
      </c>
      <c r="B432" t="n">
        <v>3183137.31</v>
      </c>
      <c r="C432" t="n">
        <v>0</v>
      </c>
      <c r="D432" t="n">
        <v>929688</v>
      </c>
      <c r="E432" t="n">
        <v>1</v>
      </c>
    </row>
    <row r="433">
      <c r="A433" t="inlineStr">
        <is>
          <t>STONERIDGE RANCH</t>
        </is>
      </c>
      <c r="B433" t="n">
        <v>778198.9399999999</v>
      </c>
      <c r="C433" t="n">
        <v>0</v>
      </c>
      <c r="D433" t="n">
        <v>78155</v>
      </c>
      <c r="E433" t="n">
        <v>1</v>
      </c>
    </row>
    <row r="434">
      <c r="A434" t="inlineStr">
        <is>
          <t>STONEWALL KITCHEN</t>
        </is>
      </c>
      <c r="B434" t="n">
        <v>0</v>
      </c>
      <c r="C434" t="n">
        <v>905.5280389960008</v>
      </c>
      <c r="D434" t="n">
        <v>0</v>
      </c>
      <c r="E434" t="n">
        <v>1</v>
      </c>
    </row>
    <row r="435">
      <c r="A435" t="inlineStr">
        <is>
          <t>STOUFFER'S</t>
        </is>
      </c>
      <c r="B435" t="n">
        <v>0</v>
      </c>
      <c r="C435" t="n">
        <v>11768.999986301</v>
      </c>
      <c r="D435" t="n">
        <v>0</v>
      </c>
      <c r="E435" t="n">
        <v>1</v>
      </c>
    </row>
    <row r="436">
      <c r="A436" t="inlineStr">
        <is>
          <t>STRAIGHT FROM FRANCE</t>
        </is>
      </c>
      <c r="B436" t="n">
        <v>9044.190000000001</v>
      </c>
      <c r="C436" t="n">
        <v>0</v>
      </c>
      <c r="D436" t="n">
        <v>721</v>
      </c>
      <c r="E436" t="n">
        <v>1</v>
      </c>
    </row>
    <row r="437">
      <c r="A437" t="inlineStr">
        <is>
          <t>STREIT</t>
        </is>
      </c>
      <c r="B437" t="n">
        <v>274.56</v>
      </c>
      <c r="C437" t="n">
        <v>0</v>
      </c>
      <c r="D437" t="n">
        <v>96</v>
      </c>
      <c r="E437" t="n">
        <v>1</v>
      </c>
    </row>
    <row r="438">
      <c r="A438" t="inlineStr">
        <is>
          <t>SUBWAY</t>
        </is>
      </c>
      <c r="B438" t="n">
        <v>4996074.91</v>
      </c>
      <c r="C438" t="n">
        <v>26370.219824124</v>
      </c>
      <c r="D438" t="n">
        <v>1281937</v>
      </c>
      <c r="E438" t="n">
        <v>0</v>
      </c>
    </row>
    <row r="439">
      <c r="A439" t="inlineStr">
        <is>
          <t>SUNNY SEA</t>
        </is>
      </c>
      <c r="B439" t="n">
        <v>26.81</v>
      </c>
      <c r="C439" t="n">
        <v>0</v>
      </c>
      <c r="D439" t="n">
        <v>14</v>
      </c>
      <c r="E439" t="n">
        <v>1</v>
      </c>
    </row>
    <row r="440">
      <c r="A440" t="inlineStr">
        <is>
          <t>SUNSET FARM FOODS</t>
        </is>
      </c>
      <c r="B440" t="n">
        <v>3784.2</v>
      </c>
      <c r="C440" t="n">
        <v>0</v>
      </c>
      <c r="D440" t="n">
        <v>1060</v>
      </c>
      <c r="E440" t="n">
        <v>1</v>
      </c>
    </row>
    <row r="441">
      <c r="A441" t="inlineStr">
        <is>
          <t>SUPER LUCKY ELEPHANT</t>
        </is>
      </c>
      <c r="B441" t="n">
        <v>2.18</v>
      </c>
      <c r="C441" t="n">
        <v>0</v>
      </c>
      <c r="D441" t="n">
        <v>1</v>
      </c>
      <c r="E441" t="n">
        <v>1</v>
      </c>
    </row>
    <row r="442">
      <c r="A442" t="inlineStr">
        <is>
          <t>SWANSON</t>
        </is>
      </c>
      <c r="B442" t="n">
        <v>14139660.04</v>
      </c>
      <c r="C442" t="n">
        <v>72466.30130231901</v>
      </c>
      <c r="D442" t="n">
        <v>2989358</v>
      </c>
      <c r="E442" t="n">
        <v>0</v>
      </c>
    </row>
    <row r="443">
      <c r="A443" t="inlineStr">
        <is>
          <t>SWANSON TOOL COMPANY</t>
        </is>
      </c>
      <c r="B443" t="n">
        <v>117997061.5191667</v>
      </c>
      <c r="C443" t="n">
        <v>929369.9198461781</v>
      </c>
      <c r="D443" t="n">
        <v>26930420</v>
      </c>
      <c r="E443" t="n">
        <v>0</v>
      </c>
    </row>
    <row r="444">
      <c r="A444" t="inlineStr">
        <is>
          <t>SWEET BABY RAY'S</t>
        </is>
      </c>
      <c r="B444" t="n">
        <v>7.77</v>
      </c>
      <c r="C444" t="n">
        <v>0</v>
      </c>
      <c r="D444" t="n">
        <v>4</v>
      </c>
      <c r="E444" t="n">
        <v>1</v>
      </c>
    </row>
    <row r="445">
      <c r="A445" t="inlineStr">
        <is>
          <t>SWEET SUE</t>
        </is>
      </c>
      <c r="B445" t="n">
        <v>3317769.985</v>
      </c>
      <c r="C445" t="n">
        <v>0</v>
      </c>
      <c r="D445" t="n">
        <v>884685</v>
      </c>
      <c r="E445" t="n">
        <v>1</v>
      </c>
    </row>
    <row r="446">
      <c r="A446" t="inlineStr">
        <is>
          <t>T'AAMTI</t>
        </is>
      </c>
      <c r="B446" t="n">
        <v>582.24</v>
      </c>
      <c r="C446" t="n">
        <v>0</v>
      </c>
      <c r="D446" t="n">
        <v>120</v>
      </c>
      <c r="E446" t="n">
        <v>1</v>
      </c>
    </row>
    <row r="447">
      <c r="A447" t="inlineStr">
        <is>
          <t>TACO BELL</t>
        </is>
      </c>
      <c r="B447" t="n">
        <v>22.5</v>
      </c>
      <c r="C447" t="n">
        <v>0</v>
      </c>
      <c r="D447" t="n">
        <v>7</v>
      </c>
      <c r="E447" t="n">
        <v>1</v>
      </c>
    </row>
    <row r="448">
      <c r="A448" t="inlineStr">
        <is>
          <t>TAMALES</t>
        </is>
      </c>
      <c r="B448" t="n">
        <v>17.88</v>
      </c>
      <c r="C448" t="n">
        <v>0</v>
      </c>
      <c r="D448" t="n">
        <v>2</v>
      </c>
      <c r="E448" t="n">
        <v>1</v>
      </c>
    </row>
    <row r="449">
      <c r="A449" t="inlineStr">
        <is>
          <t>TAPATIO</t>
        </is>
      </c>
      <c r="B449" t="n">
        <v>113828.92</v>
      </c>
      <c r="C449" t="n">
        <v>0</v>
      </c>
      <c r="D449" t="n">
        <v>101910</v>
      </c>
      <c r="E449" t="n">
        <v>1</v>
      </c>
    </row>
    <row r="450">
      <c r="A450" t="inlineStr">
        <is>
          <t>TASTE OF PORTUGAL</t>
        </is>
      </c>
      <c r="B450" t="n">
        <v>1276.14</v>
      </c>
      <c r="C450" t="n">
        <v>0</v>
      </c>
      <c r="D450" t="n">
        <v>670</v>
      </c>
      <c r="E450" t="n">
        <v>1</v>
      </c>
    </row>
    <row r="451">
      <c r="A451" t="inlineStr">
        <is>
          <t>TASTEE CHOICE</t>
        </is>
      </c>
      <c r="B451" t="n">
        <v>37312.99</v>
      </c>
      <c r="C451" t="n">
        <v>0</v>
      </c>
      <c r="D451" t="n">
        <v>5094</v>
      </c>
      <c r="E451" t="n">
        <v>1</v>
      </c>
    </row>
    <row r="452">
      <c r="A452" t="inlineStr">
        <is>
          <t>TASTY BITE</t>
        </is>
      </c>
      <c r="B452" t="n">
        <v>634729.34</v>
      </c>
      <c r="C452" t="n">
        <v>93232.34942782401</v>
      </c>
      <c r="D452" t="n">
        <v>177190</v>
      </c>
      <c r="E452" t="n">
        <v>0</v>
      </c>
      <c r="F452" t="n">
        <v>3</v>
      </c>
      <c r="G452" t="inlineStr">
        <is>
          <t>historic match with "tasty bite" (score: 1.00)</t>
        </is>
      </c>
    </row>
    <row r="453">
      <c r="A453" t="inlineStr">
        <is>
          <t>TATA RAASA</t>
        </is>
      </c>
      <c r="B453" t="n">
        <v>18143.63</v>
      </c>
      <c r="C453" t="n">
        <v>0</v>
      </c>
      <c r="D453" t="n">
        <v>5053</v>
      </c>
      <c r="E453" t="n">
        <v>1</v>
      </c>
    </row>
    <row r="454">
      <c r="A454" t="inlineStr">
        <is>
          <t>TATER KEGS</t>
        </is>
      </c>
      <c r="B454" t="n">
        <v>6558641.41</v>
      </c>
      <c r="C454" t="n">
        <v>0</v>
      </c>
      <c r="D454" t="n">
        <v>2622339</v>
      </c>
      <c r="E454" t="n">
        <v>1</v>
      </c>
    </row>
    <row r="455">
      <c r="A455" t="inlineStr">
        <is>
          <t>TAYLOR FARMS</t>
        </is>
      </c>
      <c r="B455" t="n">
        <v>3.38</v>
      </c>
      <c r="C455" t="n">
        <v>0</v>
      </c>
      <c r="D455" t="n">
        <v>1</v>
      </c>
      <c r="E455" t="n">
        <v>1</v>
      </c>
    </row>
    <row r="456">
      <c r="A456" t="inlineStr">
        <is>
          <t>TERRA VERDA</t>
        </is>
      </c>
      <c r="B456" t="n">
        <v>12.41</v>
      </c>
      <c r="C456" t="n">
        <v>0</v>
      </c>
      <c r="D456" t="n">
        <v>6</v>
      </c>
      <c r="E456" t="n">
        <v>1</v>
      </c>
    </row>
    <row r="457">
      <c r="A457" t="inlineStr">
        <is>
          <t>TETA FOODS</t>
        </is>
      </c>
      <c r="B457" t="n">
        <v>656.6</v>
      </c>
      <c r="C457" t="n">
        <v>0</v>
      </c>
      <c r="D457" t="n">
        <v>11</v>
      </c>
      <c r="E457" t="n">
        <v>1</v>
      </c>
    </row>
    <row r="458">
      <c r="A458" t="inlineStr">
        <is>
          <t>TEXAS ROADHOUSE</t>
        </is>
      </c>
      <c r="B458" t="n">
        <v>1280708.32</v>
      </c>
      <c r="C458" t="n">
        <v>0</v>
      </c>
      <c r="D458" t="n">
        <v>367982</v>
      </c>
      <c r="E458" t="n">
        <v>1</v>
      </c>
    </row>
    <row r="459">
      <c r="A459" t="inlineStr">
        <is>
          <t>TEXAS TAILGATE</t>
        </is>
      </c>
      <c r="B459" t="n">
        <v>1887990.27</v>
      </c>
      <c r="C459" t="n">
        <v>0</v>
      </c>
      <c r="D459" t="n">
        <v>1627825</v>
      </c>
      <c r="E459" t="n">
        <v>1</v>
      </c>
    </row>
    <row r="460">
      <c r="A460" t="inlineStr">
        <is>
          <t>TEXAS TAMALE COMPANY</t>
        </is>
      </c>
      <c r="B460" t="n">
        <v>641288.12</v>
      </c>
      <c r="C460" t="n">
        <v>3638.360000267001</v>
      </c>
      <c r="D460" t="n">
        <v>75102</v>
      </c>
      <c r="E460" t="n">
        <v>0</v>
      </c>
    </row>
    <row r="461">
      <c r="A461" t="inlineStr">
        <is>
          <t>THE AUTHENTIC NEW MEXICAN</t>
        </is>
      </c>
      <c r="B461" t="n">
        <v>1305.84</v>
      </c>
      <c r="C461" t="n">
        <v>0</v>
      </c>
      <c r="D461" t="n">
        <v>110</v>
      </c>
      <c r="E461" t="n">
        <v>1</v>
      </c>
    </row>
    <row r="462">
      <c r="A462" t="inlineStr">
        <is>
          <t>THE GOOD BEAN</t>
        </is>
      </c>
      <c r="B462" t="n">
        <v>23.84</v>
      </c>
      <c r="C462" t="n">
        <v>0</v>
      </c>
      <c r="D462" t="n">
        <v>8</v>
      </c>
      <c r="E462" t="n">
        <v>1</v>
      </c>
    </row>
    <row r="463">
      <c r="A463" t="inlineStr">
        <is>
          <t>TOMBSTONE</t>
        </is>
      </c>
      <c r="B463" t="n">
        <v>0.68</v>
      </c>
      <c r="C463" t="n">
        <v>0</v>
      </c>
      <c r="D463" t="n">
        <v>1</v>
      </c>
      <c r="E463" t="n">
        <v>1</v>
      </c>
    </row>
    <row r="464">
      <c r="A464" t="inlineStr">
        <is>
          <t>TONNINO</t>
        </is>
      </c>
      <c r="B464" t="n">
        <v>11717394.21128472</v>
      </c>
      <c r="C464" t="n">
        <v>229285.638166287</v>
      </c>
      <c r="D464" t="n">
        <v>3079605</v>
      </c>
      <c r="E464" t="n">
        <v>0</v>
      </c>
    </row>
    <row r="465">
      <c r="A465" t="inlineStr">
        <is>
          <t>TONY CHACHERE'S</t>
        </is>
      </c>
      <c r="B465" t="n">
        <v>4626.69</v>
      </c>
      <c r="C465" t="n">
        <v>0</v>
      </c>
      <c r="D465" t="n">
        <v>141</v>
      </c>
      <c r="E465" t="n">
        <v>1</v>
      </c>
    </row>
    <row r="466">
      <c r="A466" t="inlineStr">
        <is>
          <t>TONY PACKO'S</t>
        </is>
      </c>
      <c r="B466" t="n">
        <v>254389.55</v>
      </c>
      <c r="C466" t="n">
        <v>0</v>
      </c>
      <c r="D466" t="n">
        <v>96899</v>
      </c>
      <c r="E466" t="n">
        <v>1</v>
      </c>
    </row>
    <row r="467">
      <c r="A467" t="inlineStr">
        <is>
          <t>TONY'S TAMALES</t>
        </is>
      </c>
      <c r="B467" t="n">
        <v>2328.8</v>
      </c>
      <c r="C467" t="n">
        <v>0</v>
      </c>
      <c r="D467" t="n">
        <v>355</v>
      </c>
      <c r="E467" t="n">
        <v>1</v>
      </c>
    </row>
    <row r="468">
      <c r="A468" t="inlineStr">
        <is>
          <t>TONYS TAMALES</t>
        </is>
      </c>
      <c r="B468" t="n">
        <v>18483.78</v>
      </c>
      <c r="C468" t="n">
        <v>0</v>
      </c>
      <c r="D468" t="n">
        <v>2818</v>
      </c>
      <c r="E468" t="n">
        <v>1</v>
      </c>
    </row>
    <row r="469">
      <c r="A469" t="inlineStr">
        <is>
          <t>TRIDENT SEAFOOD</t>
        </is>
      </c>
      <c r="B469" t="n">
        <v>326589.51</v>
      </c>
      <c r="C469" t="n">
        <v>0</v>
      </c>
      <c r="D469" t="n">
        <v>68030</v>
      </c>
      <c r="E469" t="n">
        <v>1</v>
      </c>
    </row>
    <row r="470">
      <c r="A470" t="inlineStr">
        <is>
          <t>TRIDENT SEAFOODS</t>
        </is>
      </c>
      <c r="B470" t="n">
        <v>10284446</v>
      </c>
      <c r="C470" t="n">
        <v>23818.364669861</v>
      </c>
      <c r="D470" t="n">
        <v>2369317</v>
      </c>
      <c r="E470" t="n">
        <v>0</v>
      </c>
    </row>
    <row r="471">
      <c r="A471" t="inlineStr">
        <is>
          <t>TROPICS</t>
        </is>
      </c>
      <c r="B471" t="n">
        <v>4051.08</v>
      </c>
      <c r="C471" t="n">
        <v>0</v>
      </c>
      <c r="D471" t="n">
        <v>2046</v>
      </c>
      <c r="E471" t="n">
        <v>1</v>
      </c>
    </row>
    <row r="472">
      <c r="A472" t="inlineStr">
        <is>
          <t>TRUROOTS</t>
        </is>
      </c>
      <c r="B472" t="n">
        <v>-2.99</v>
      </c>
      <c r="C472" t="n">
        <v>0</v>
      </c>
      <c r="D472" t="n">
        <v>-1</v>
      </c>
      <c r="E472" t="n">
        <v>1</v>
      </c>
    </row>
    <row r="473">
      <c r="A473" t="inlineStr">
        <is>
          <t>TULIP</t>
        </is>
      </c>
      <c r="B473" t="n">
        <v>8906895.15</v>
      </c>
      <c r="C473" t="n">
        <v>0</v>
      </c>
      <c r="D473" t="n">
        <v>3348522</v>
      </c>
      <c r="E473" t="n">
        <v>1</v>
      </c>
    </row>
    <row r="474">
      <c r="A474" t="inlineStr">
        <is>
          <t>TUNA HELPER</t>
        </is>
      </c>
      <c r="B474" t="n">
        <v>2.94</v>
      </c>
      <c r="C474" t="n">
        <v>0</v>
      </c>
      <c r="D474" t="n">
        <v>1</v>
      </c>
      <c r="E474" t="n">
        <v>1</v>
      </c>
    </row>
    <row r="475">
      <c r="A475" t="inlineStr">
        <is>
          <t>TWISTD</t>
        </is>
      </c>
      <c r="B475" t="n">
        <v>298.29</v>
      </c>
      <c r="C475" t="n">
        <v>0</v>
      </c>
      <c r="D475" t="n">
        <v>311</v>
      </c>
      <c r="E475" t="n">
        <v>1</v>
      </c>
    </row>
    <row r="476">
      <c r="A476" t="inlineStr">
        <is>
          <t>TYSON</t>
        </is>
      </c>
      <c r="B476" t="n">
        <v>16207539.93083333</v>
      </c>
      <c r="C476" t="n">
        <v>4941.651561575</v>
      </c>
      <c r="D476" t="n">
        <v>4700090</v>
      </c>
      <c r="E476" t="n">
        <v>0</v>
      </c>
      <c r="F476" t="n">
        <v>5</v>
      </c>
      <c r="G476" t="inlineStr">
        <is>
          <t>historic match with "tyson" (score: 1.00)</t>
        </is>
      </c>
    </row>
    <row r="477">
      <c r="A477" t="inlineStr">
        <is>
          <t>TYSON FOODS</t>
        </is>
      </c>
      <c r="B477" t="n">
        <v>1133967.445000001</v>
      </c>
      <c r="C477" t="n">
        <v>240.543309584</v>
      </c>
      <c r="D477" t="n">
        <v>368957</v>
      </c>
      <c r="E477" t="n">
        <v>0</v>
      </c>
      <c r="F477" t="n">
        <v>5</v>
      </c>
      <c r="G477" t="inlineStr">
        <is>
          <t>historic match with "tyson foods" (score: 1.00)</t>
        </is>
      </c>
    </row>
    <row r="478">
      <c r="A478" t="inlineStr">
        <is>
          <t>UNBRANDED</t>
        </is>
      </c>
      <c r="B478" t="n">
        <v>1292.39</v>
      </c>
      <c r="C478" t="n">
        <v>0</v>
      </c>
      <c r="D478" t="n">
        <v>497</v>
      </c>
      <c r="E478" t="n">
        <v>1</v>
      </c>
    </row>
    <row r="479">
      <c r="A479" t="inlineStr">
        <is>
          <t>UNCLE BEN'S</t>
        </is>
      </c>
      <c r="B479" t="n">
        <v>-3.96</v>
      </c>
      <c r="C479" t="n">
        <v>0</v>
      </c>
      <c r="D479" t="n">
        <v>-1</v>
      </c>
      <c r="E479" t="n">
        <v>1</v>
      </c>
      <c r="F479" t="n">
        <v>3</v>
      </c>
      <c r="G479" t="inlineStr">
        <is>
          <t>historic match with "uncle bens" (score: 0.93)</t>
        </is>
      </c>
    </row>
    <row r="480">
      <c r="A480" t="inlineStr">
        <is>
          <t>UNDERWOOD</t>
        </is>
      </c>
      <c r="B480" t="n">
        <v>35279322.76499999</v>
      </c>
      <c r="C480" t="n">
        <v>0</v>
      </c>
      <c r="D480" t="n">
        <v>13599464</v>
      </c>
      <c r="E480" t="n">
        <v>1</v>
      </c>
    </row>
    <row r="481">
      <c r="A481" t="inlineStr">
        <is>
          <t>UNILEVER</t>
        </is>
      </c>
      <c r="B481" t="n">
        <v>0</v>
      </c>
      <c r="C481" t="n">
        <v>70.44000187900001</v>
      </c>
      <c r="D481" t="n">
        <v>0</v>
      </c>
      <c r="E481" t="n">
        <v>1</v>
      </c>
    </row>
    <row r="482">
      <c r="A482" t="inlineStr">
        <is>
          <t>UPTON'S NATURALS</t>
        </is>
      </c>
      <c r="B482" t="n">
        <v>48832.12</v>
      </c>
      <c r="C482" t="n">
        <v>0</v>
      </c>
      <c r="D482" t="n">
        <v>11038</v>
      </c>
      <c r="E482" t="n">
        <v>1</v>
      </c>
    </row>
    <row r="483">
      <c r="A483" t="inlineStr">
        <is>
          <t>VALLEY FRESH</t>
        </is>
      </c>
      <c r="B483" t="n">
        <v>12851909.295</v>
      </c>
      <c r="C483" t="n">
        <v>14778.419882957</v>
      </c>
      <c r="D483" t="n">
        <v>4864778</v>
      </c>
      <c r="E483" t="n">
        <v>0</v>
      </c>
    </row>
    <row r="484">
      <c r="A484" t="inlineStr">
        <is>
          <t>VAN CAMP'S</t>
        </is>
      </c>
      <c r="B484" t="n">
        <v>6236493.260000001</v>
      </c>
      <c r="C484" t="n">
        <v>903.2500056410003</v>
      </c>
      <c r="D484" t="n">
        <v>3388265</v>
      </c>
      <c r="E484" t="n">
        <v>0</v>
      </c>
    </row>
    <row r="485">
      <c r="A485" t="inlineStr">
        <is>
          <t>VAN ECUADOR</t>
        </is>
      </c>
      <c r="B485" t="n">
        <v>313782.81</v>
      </c>
      <c r="C485" t="n">
        <v>0</v>
      </c>
      <c r="D485" t="n">
        <v>133004</v>
      </c>
      <c r="E485" t="n">
        <v>1</v>
      </c>
    </row>
    <row r="486">
      <c r="A486" t="inlineStr">
        <is>
          <t>VAN ECUADOR TUNA IN OIL 4PK 3 OZ</t>
        </is>
      </c>
      <c r="B486" t="n">
        <v>7014.04</v>
      </c>
      <c r="C486" t="n">
        <v>0</v>
      </c>
      <c r="D486" t="n">
        <v>1214</v>
      </c>
      <c r="E486" t="n">
        <v>1</v>
      </c>
    </row>
    <row r="487">
      <c r="A487" t="inlineStr">
        <is>
          <t>VAN O TONNO</t>
        </is>
      </c>
      <c r="B487" t="n">
        <v>43554.25</v>
      </c>
      <c r="C487" t="n">
        <v>0</v>
      </c>
      <c r="D487" t="n">
        <v>22159</v>
      </c>
      <c r="E487" t="n">
        <v>1</v>
      </c>
    </row>
    <row r="488">
      <c r="A488" t="inlineStr">
        <is>
          <t>VEGGIECRAFT FARMS</t>
        </is>
      </c>
      <c r="B488" t="n">
        <v>98.18000000000001</v>
      </c>
      <c r="C488" t="n">
        <v>0</v>
      </c>
      <c r="D488" t="n">
        <v>59</v>
      </c>
      <c r="E488" t="n">
        <v>1</v>
      </c>
    </row>
    <row r="489">
      <c r="A489" t="inlineStr">
        <is>
          <t>VERY VEGGIE</t>
        </is>
      </c>
      <c r="B489" t="n">
        <v>0.5</v>
      </c>
      <c r="C489" t="n">
        <v>0</v>
      </c>
      <c r="D489" t="n">
        <v>1</v>
      </c>
      <c r="E489" t="n">
        <v>1</v>
      </c>
    </row>
    <row r="490">
      <c r="A490" t="inlineStr">
        <is>
          <t>VIETTI</t>
        </is>
      </c>
      <c r="B490" t="n">
        <v>2567089.62</v>
      </c>
      <c r="C490" t="n">
        <v>9843.040121381997</v>
      </c>
      <c r="D490" t="n">
        <v>1411739</v>
      </c>
      <c r="E490" t="n">
        <v>0</v>
      </c>
    </row>
    <row r="491">
      <c r="A491" t="inlineStr">
        <is>
          <t>VIFON</t>
        </is>
      </c>
      <c r="B491" t="n">
        <v>2.3</v>
      </c>
      <c r="C491" t="n">
        <v>0</v>
      </c>
      <c r="D491" t="n">
        <v>2</v>
      </c>
      <c r="E491" t="n">
        <v>1</v>
      </c>
    </row>
    <row r="492">
      <c r="A492" t="inlineStr">
        <is>
          <t>VIGO</t>
        </is>
      </c>
      <c r="B492" t="n">
        <v>50070.02</v>
      </c>
      <c r="C492" t="n">
        <v>0</v>
      </c>
      <c r="D492" t="n">
        <v>19385</v>
      </c>
      <c r="E492" t="n">
        <v>1</v>
      </c>
      <c r="F492" t="n">
        <v>3</v>
      </c>
      <c r="G492" t="inlineStr">
        <is>
          <t>historic match with "vigo" (score: 1.00)</t>
        </is>
      </c>
    </row>
    <row r="493">
      <c r="A493" t="inlineStr">
        <is>
          <t>VIGO FOODS</t>
        </is>
      </c>
      <c r="B493" t="n">
        <v>4472758.52</v>
      </c>
      <c r="C493" t="n">
        <v>426.2400027020003</v>
      </c>
      <c r="D493" t="n">
        <v>1839483</v>
      </c>
      <c r="E493" t="n">
        <v>0</v>
      </c>
    </row>
    <row r="494">
      <c r="A494" t="inlineStr">
        <is>
          <t>VIGO INDUSTRIES</t>
        </is>
      </c>
      <c r="B494" t="n">
        <v>288.31</v>
      </c>
      <c r="C494" t="n">
        <v>0</v>
      </c>
      <c r="D494" t="n">
        <v>13</v>
      </c>
      <c r="E494" t="n">
        <v>1</v>
      </c>
    </row>
    <row r="495">
      <c r="A495" t="inlineStr">
        <is>
          <t>VITA</t>
        </is>
      </c>
      <c r="B495" t="n">
        <v>-7.98</v>
      </c>
      <c r="C495" t="n">
        <v>0</v>
      </c>
      <c r="D495" t="n">
        <v>-1</v>
      </c>
      <c r="E495" t="n">
        <v>1</v>
      </c>
    </row>
    <row r="496">
      <c r="A496" t="inlineStr">
        <is>
          <t>VITAL FARMS</t>
        </is>
      </c>
      <c r="B496" t="n">
        <v>-4.98</v>
      </c>
      <c r="C496" t="n">
        <v>0</v>
      </c>
      <c r="D496" t="n">
        <v>-1</v>
      </c>
      <c r="E496" t="n">
        <v>1</v>
      </c>
    </row>
    <row r="497">
      <c r="A497" t="inlineStr">
        <is>
          <t>VITARROZ</t>
        </is>
      </c>
      <c r="B497" t="n">
        <v>56.25</v>
      </c>
      <c r="C497" t="n">
        <v>0</v>
      </c>
      <c r="D497" t="n">
        <v>45</v>
      </c>
      <c r="E497" t="n">
        <v>1</v>
      </c>
    </row>
    <row r="498">
      <c r="A498" t="inlineStr">
        <is>
          <t>VOYAGE FOODS</t>
        </is>
      </c>
      <c r="B498" t="n">
        <v>0</v>
      </c>
      <c r="C498" t="n">
        <v>153.899999579</v>
      </c>
      <c r="D498" t="n">
        <v>0</v>
      </c>
      <c r="E498" t="n">
        <v>1</v>
      </c>
    </row>
    <row r="499">
      <c r="A499" t="inlineStr">
        <is>
          <t>WAL-MART BAKERY</t>
        </is>
      </c>
      <c r="B499" t="n">
        <v>5.08</v>
      </c>
      <c r="C499" t="n">
        <v>0</v>
      </c>
      <c r="D499" t="n">
        <v>2</v>
      </c>
      <c r="E499" t="n">
        <v>1</v>
      </c>
    </row>
    <row r="500">
      <c r="A500" t="inlineStr">
        <is>
          <t>WELCH'S</t>
        </is>
      </c>
      <c r="B500" t="n">
        <v>42.41</v>
      </c>
      <c r="C500" t="n">
        <v>2995.554779256001</v>
      </c>
      <c r="D500" t="n">
        <v>12</v>
      </c>
      <c r="E500" t="n">
        <v>1</v>
      </c>
    </row>
    <row r="501">
      <c r="A501" t="inlineStr">
        <is>
          <t>WENDY'S</t>
        </is>
      </c>
      <c r="B501" t="n">
        <v>27904228.31000002</v>
      </c>
      <c r="C501" t="n">
        <v>549937.354400453</v>
      </c>
      <c r="D501" t="n">
        <v>6234169.7</v>
      </c>
      <c r="E501" t="n">
        <v>0</v>
      </c>
    </row>
    <row r="502">
      <c r="A502" t="inlineStr">
        <is>
          <t>WICKED KITCHEN</t>
        </is>
      </c>
      <c r="B502" t="n">
        <v>136317.53</v>
      </c>
      <c r="C502" t="n">
        <v>0</v>
      </c>
      <c r="D502" t="n">
        <v>45926</v>
      </c>
      <c r="E502" t="n">
        <v>1</v>
      </c>
    </row>
    <row r="503">
      <c r="A503" t="inlineStr">
        <is>
          <t>WILD PLANET</t>
        </is>
      </c>
      <c r="B503" t="n">
        <v>27902014.31000001</v>
      </c>
      <c r="C503" t="n">
        <v>735727.261289676</v>
      </c>
      <c r="D503" t="n">
        <v>7241328</v>
      </c>
      <c r="E503" t="n">
        <v>0</v>
      </c>
    </row>
    <row r="504">
      <c r="A504" t="inlineStr">
        <is>
          <t>WILD SELECTIONS</t>
        </is>
      </c>
      <c r="B504" t="n">
        <v>45.36</v>
      </c>
      <c r="C504" t="n">
        <v>0</v>
      </c>
      <c r="D504" t="n">
        <v>19</v>
      </c>
      <c r="E504" t="n">
        <v>1</v>
      </c>
    </row>
    <row r="505">
      <c r="A505" t="inlineStr">
        <is>
          <t>WOLF</t>
        </is>
      </c>
      <c r="B505" t="n">
        <v>1329658.66</v>
      </c>
      <c r="C505" t="n">
        <v>0</v>
      </c>
      <c r="D505" t="n">
        <v>510645</v>
      </c>
      <c r="E505" t="n">
        <v>1</v>
      </c>
    </row>
    <row r="506">
      <c r="A506" t="inlineStr">
        <is>
          <t>WOLFF'S</t>
        </is>
      </c>
      <c r="B506" t="n">
        <v>341.12</v>
      </c>
      <c r="C506" t="n">
        <v>0</v>
      </c>
      <c r="D506" t="n">
        <v>82</v>
      </c>
      <c r="E506" t="n">
        <v>1</v>
      </c>
    </row>
    <row r="507">
      <c r="A507" t="inlineStr">
        <is>
          <t>WOODWARD AVE</t>
        </is>
      </c>
      <c r="B507" t="n">
        <v>370544.399999996</v>
      </c>
      <c r="C507" t="n">
        <v>0</v>
      </c>
      <c r="D507" t="n">
        <v>147683</v>
      </c>
      <c r="E507" t="n">
        <v>1</v>
      </c>
    </row>
    <row r="508">
      <c r="A508" t="inlineStr">
        <is>
          <t>WORTHMORE</t>
        </is>
      </c>
      <c r="B508" t="n">
        <v>3091.92</v>
      </c>
      <c r="C508" t="n">
        <v>0</v>
      </c>
      <c r="D508" t="n">
        <v>991</v>
      </c>
      <c r="E508" t="n">
        <v>1</v>
      </c>
    </row>
    <row r="509">
      <c r="A509" t="inlineStr">
        <is>
          <t>YEHUDA</t>
        </is>
      </c>
      <c r="B509" t="n">
        <v>5578.92</v>
      </c>
      <c r="C509" t="n">
        <v>0</v>
      </c>
      <c r="D509" t="n">
        <v>582</v>
      </c>
      <c r="E509" t="n">
        <v>1</v>
      </c>
    </row>
    <row r="510">
      <c r="A510" t="inlineStr">
        <is>
          <t>YELLOWSTONE</t>
        </is>
      </c>
      <c r="B510" t="n">
        <v>9001621.470000001</v>
      </c>
      <c r="C510" t="n">
        <v>45373.78122579299</v>
      </c>
      <c r="D510" t="n">
        <v>2845864</v>
      </c>
      <c r="E510" t="n">
        <v>0</v>
      </c>
    </row>
    <row r="511">
      <c r="A511" t="inlineStr">
        <is>
          <t>YODER'S</t>
        </is>
      </c>
      <c r="B511" t="n">
        <v>53555.96</v>
      </c>
      <c r="C511" t="n">
        <v>161.859320491</v>
      </c>
      <c r="D511" t="n">
        <v>31988</v>
      </c>
      <c r="E511" t="n">
        <v>0</v>
      </c>
    </row>
    <row r="512">
      <c r="A512" t="inlineStr">
        <is>
          <t>YUMMY</t>
        </is>
      </c>
      <c r="B512" t="n">
        <v>131.49</v>
      </c>
      <c r="C512" t="n">
        <v>0</v>
      </c>
      <c r="D512" t="n">
        <v>27</v>
      </c>
      <c r="E512" t="n">
        <v>1</v>
      </c>
    </row>
    <row r="513">
      <c r="A513" t="inlineStr">
        <is>
          <t>ZATARAIN'S</t>
        </is>
      </c>
      <c r="B513" t="n">
        <v>1636280.74</v>
      </c>
      <c r="C513" t="n">
        <v>113.799999677</v>
      </c>
      <c r="D513" t="n">
        <v>478683</v>
      </c>
      <c r="E5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UNIQUE_BRAND_NAME</t>
        </is>
      </c>
      <c r="B1" s="33" t="inlineStr">
        <is>
          <t>Sum of O_SALE</t>
        </is>
      </c>
      <c r="C1" s="33" t="inlineStr">
        <is>
          <t>Sum of TOTAL_SPEND</t>
        </is>
      </c>
      <c r="D1" s="33" t="inlineStr">
        <is>
          <t>Sum of O_UNIT</t>
        </is>
      </c>
      <c r="E1" s="33" t="inlineStr">
        <is>
          <t>Max of Exclude_Flag</t>
        </is>
      </c>
      <c r="F1" s="33" t="inlineStr">
        <is>
          <t>Max of Combine_Flag</t>
        </is>
      </c>
      <c r="G1" s="33" t="inlineStr">
        <is>
          <t>Sales Share</t>
        </is>
      </c>
      <c r="H1" s="33" t="inlineStr">
        <is>
          <t>Unit Share</t>
        </is>
      </c>
      <c r="I1" s="33" t="inlineStr">
        <is>
          <t>Spend Share</t>
        </is>
      </c>
      <c r="J1" s="33" t="inlineStr">
        <is>
          <t>Private Brand</t>
        </is>
      </c>
      <c r="K1" s="33" t="inlineStr">
        <is>
          <t>Mapping Issue</t>
        </is>
      </c>
      <c r="L1" s="33" t="inlineStr">
        <is>
          <t>Combine Flag</t>
        </is>
      </c>
      <c r="M1" s="33" t="inlineStr">
        <is>
          <t>Exclude Flag</t>
        </is>
      </c>
    </row>
    <row r="2">
      <c r="A2" t="inlineStr">
        <is>
          <t>GREAT VALUE</t>
        </is>
      </c>
      <c r="B2" t="n">
        <v>1321285901.279643</v>
      </c>
      <c r="C2" t="n">
        <v>11898.187124233</v>
      </c>
      <c r="D2" t="n">
        <v>652732513.8</v>
      </c>
      <c r="E2" t="n">
        <v>1</v>
      </c>
      <c r="F2" t="n">
        <v>0</v>
      </c>
      <c r="G2" t="n">
        <v>25.2</v>
      </c>
      <c r="H2" t="n">
        <v>28.4</v>
      </c>
      <c r="I2" t="n">
        <v>0.1</v>
      </c>
      <c r="J2" t="n">
        <v>1</v>
      </c>
      <c r="M2" t="n">
        <v>1</v>
      </c>
    </row>
    <row r="3">
      <c r="A3" t="inlineStr">
        <is>
          <t>MARKETSIDE</t>
        </is>
      </c>
      <c r="B3" t="n">
        <v>2016606.5</v>
      </c>
      <c r="C3" t="n">
        <v>0</v>
      </c>
      <c r="D3" t="n">
        <v>285686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M3" t="n">
        <v>1</v>
      </c>
    </row>
    <row r="4">
      <c r="A4" t="inlineStr">
        <is>
          <t>FRESHNESS GUARANTEED</t>
        </is>
      </c>
      <c r="B4" t="n">
        <v>46564.58</v>
      </c>
      <c r="C4" t="n">
        <v>0</v>
      </c>
      <c r="D4" t="n">
        <v>8606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M4" t="n">
        <v>1</v>
      </c>
    </row>
    <row r="5">
      <c r="A5" t="inlineStr">
        <is>
          <t>SAM'S CHOICE</t>
        </is>
      </c>
      <c r="B5" t="n">
        <v>1969.05</v>
      </c>
      <c r="C5" t="n">
        <v>0</v>
      </c>
      <c r="D5" t="n">
        <v>1211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M5" t="n">
        <v>1</v>
      </c>
    </row>
    <row r="6">
      <c r="A6" t="inlineStr">
        <is>
          <t>WAL-MART BAKERY</t>
        </is>
      </c>
      <c r="B6" t="n">
        <v>5.08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M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UNIQUE_BRAND_NAME</t>
        </is>
      </c>
      <c r="B1" s="33" t="inlineStr">
        <is>
          <t>Sum of O_SALE</t>
        </is>
      </c>
      <c r="C1" s="33" t="inlineStr">
        <is>
          <t>Sum of TOTAL_SPEND</t>
        </is>
      </c>
      <c r="D1" s="33" t="inlineStr">
        <is>
          <t>Sum of O_UNIT</t>
        </is>
      </c>
      <c r="E1" s="33" t="inlineStr">
        <is>
          <t>Max of Exclude_Flag</t>
        </is>
      </c>
      <c r="F1" s="33" t="inlineStr">
        <is>
          <t>Max of Combine_Flag</t>
        </is>
      </c>
      <c r="G1" s="33" t="inlineStr">
        <is>
          <t>Sales Share</t>
        </is>
      </c>
      <c r="H1" s="33" t="inlineStr">
        <is>
          <t>Unit Share</t>
        </is>
      </c>
      <c r="I1" s="33" t="inlineStr">
        <is>
          <t>Spend Share</t>
        </is>
      </c>
      <c r="J1" s="33" t="inlineStr">
        <is>
          <t>Private Brand</t>
        </is>
      </c>
      <c r="K1" s="33" t="inlineStr">
        <is>
          <t>Mapping Issue</t>
        </is>
      </c>
      <c r="L1" s="33" t="inlineStr">
        <is>
          <t>Combine Flag</t>
        </is>
      </c>
      <c r="M1" s="33" t="inlineStr">
        <is>
          <t>Exclude Flag</t>
        </is>
      </c>
    </row>
    <row r="2">
      <c r="A2" t="inlineStr">
        <is>
          <t>GENERIC</t>
        </is>
      </c>
      <c r="B2" t="n">
        <v>4315745.85</v>
      </c>
      <c r="C2" t="n">
        <v>0</v>
      </c>
      <c r="D2" t="n">
        <v>2245683</v>
      </c>
      <c r="E2" t="n">
        <v>1</v>
      </c>
      <c r="F2" t="n">
        <v>0</v>
      </c>
      <c r="G2" t="n">
        <v>0.1</v>
      </c>
      <c r="H2" t="n">
        <v>0.1</v>
      </c>
      <c r="I2" t="n">
        <v>0</v>
      </c>
      <c r="K2" t="n">
        <v>1</v>
      </c>
      <c r="M2" t="n">
        <v>1</v>
      </c>
    </row>
    <row r="3">
      <c r="A3" t="inlineStr">
        <is>
          <t>COMING SOON</t>
        </is>
      </c>
      <c r="B3" t="n">
        <v>15954.61</v>
      </c>
      <c r="C3" t="n">
        <v>51.59120851700001</v>
      </c>
      <c r="D3" t="n">
        <v>6184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K3" t="n">
        <v>1</v>
      </c>
      <c r="M3" t="n">
        <v>1</v>
      </c>
    </row>
    <row r="4">
      <c r="A4" t="inlineStr">
        <is>
          <t>ONLINE</t>
        </is>
      </c>
      <c r="B4" t="n">
        <v>11684.87</v>
      </c>
      <c r="C4" t="n">
        <v>0</v>
      </c>
      <c r="D4" t="n">
        <v>2474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K4" t="n">
        <v>1</v>
      </c>
      <c r="M4" t="n">
        <v>1</v>
      </c>
    </row>
    <row r="5">
      <c r="A5" t="inlineStr">
        <is>
          <t>UNBRANDED</t>
        </is>
      </c>
      <c r="B5" t="n">
        <v>1292.39</v>
      </c>
      <c r="C5" t="n">
        <v>0</v>
      </c>
      <c r="D5" t="n">
        <v>497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K5" t="n">
        <v>1</v>
      </c>
      <c r="M5" t="n">
        <v>1</v>
      </c>
    </row>
    <row r="6">
      <c r="A6" t="inlineStr">
        <is>
          <t>0</t>
        </is>
      </c>
      <c r="B6" t="n">
        <v>820.55</v>
      </c>
      <c r="C6" t="n">
        <v>123539.658571601</v>
      </c>
      <c r="D6" t="n">
        <v>34</v>
      </c>
      <c r="E6" t="n">
        <v>1</v>
      </c>
      <c r="F6" t="n">
        <v>0</v>
      </c>
      <c r="G6" t="n">
        <v>0</v>
      </c>
      <c r="H6" t="n">
        <v>0</v>
      </c>
      <c r="I6" t="n">
        <v>0.7</v>
      </c>
      <c r="K6" t="n">
        <v>1</v>
      </c>
      <c r="M6" t="n">
        <v>1</v>
      </c>
    </row>
    <row r="7">
      <c r="A7" t="inlineStr">
        <is>
          <t>NOBRAND</t>
        </is>
      </c>
      <c r="B7" t="n">
        <v>226.17</v>
      </c>
      <c r="C7" t="n">
        <v>0</v>
      </c>
      <c r="D7" t="n">
        <v>45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K7" t="n">
        <v>1</v>
      </c>
      <c r="M7" t="n">
        <v>1</v>
      </c>
    </row>
    <row r="8">
      <c r="A8" t="inlineStr">
        <is>
          <t>SHAN</t>
        </is>
      </c>
      <c r="B8" t="n">
        <v>-13.34</v>
      </c>
      <c r="C8" t="n">
        <v>0</v>
      </c>
      <c r="D8" t="n">
        <v>-2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K8" t="n">
        <v>1</v>
      </c>
      <c r="M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3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UNIQUE_BRAND_NAME</t>
        </is>
      </c>
      <c r="B1" s="33" t="inlineStr">
        <is>
          <t>Sum of O_SALE</t>
        </is>
      </c>
      <c r="C1" s="33" t="inlineStr">
        <is>
          <t>Sum of TOTAL_SPEND</t>
        </is>
      </c>
      <c r="D1" s="33" t="inlineStr">
        <is>
          <t>Sum of O_UNIT</t>
        </is>
      </c>
      <c r="E1" s="33" t="inlineStr">
        <is>
          <t>Max of Exclude_Flag</t>
        </is>
      </c>
      <c r="F1" s="33" t="inlineStr">
        <is>
          <t>Max of Combine_Flag</t>
        </is>
      </c>
      <c r="G1" s="33" t="inlineStr">
        <is>
          <t>Sales Share</t>
        </is>
      </c>
      <c r="H1" s="33" t="inlineStr">
        <is>
          <t>Unit Share</t>
        </is>
      </c>
      <c r="I1" s="33" t="inlineStr">
        <is>
          <t>Spend Share</t>
        </is>
      </c>
      <c r="J1" s="33" t="inlineStr">
        <is>
          <t>Private Brand</t>
        </is>
      </c>
      <c r="K1" s="33" t="inlineStr">
        <is>
          <t>Mapping Issue</t>
        </is>
      </c>
      <c r="L1" s="33" t="inlineStr">
        <is>
          <t>Combine Flag</t>
        </is>
      </c>
      <c r="M1" s="33" t="inlineStr">
        <is>
          <t>Exclude Flag</t>
        </is>
      </c>
    </row>
    <row r="2">
      <c r="A2" t="inlineStr">
        <is>
          <t>0</t>
        </is>
      </c>
      <c r="B2" t="n">
        <v>820.55</v>
      </c>
      <c r="C2" t="n">
        <v>123539.658571601</v>
      </c>
      <c r="D2" t="n">
        <v>34</v>
      </c>
      <c r="E2" t="n">
        <v>1</v>
      </c>
      <c r="F2" t="n">
        <v>0</v>
      </c>
      <c r="G2" t="n">
        <v>0</v>
      </c>
      <c r="H2" t="n">
        <v>0</v>
      </c>
      <c r="I2" t="n">
        <v>0.7</v>
      </c>
      <c r="K2" t="n">
        <v>1</v>
      </c>
      <c r="M2" t="n">
        <v>1</v>
      </c>
    </row>
    <row r="3">
      <c r="A3" t="inlineStr">
        <is>
          <t>4SISTERS</t>
        </is>
      </c>
      <c r="B3" t="n">
        <v>0</v>
      </c>
      <c r="C3" t="n">
        <v>192.8979491560001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M3" t="n">
        <v>1</v>
      </c>
    </row>
    <row r="4">
      <c r="A4" t="inlineStr">
        <is>
          <t>A DOZEN COUSINS</t>
        </is>
      </c>
      <c r="B4" t="n">
        <v>5014.99</v>
      </c>
      <c r="C4" t="n">
        <v>11.319999904</v>
      </c>
      <c r="D4" t="n">
        <v>227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M4" t="n">
        <v>0</v>
      </c>
    </row>
    <row r="5">
      <c r="A5" t="inlineStr">
        <is>
          <t>AL AMIR</t>
        </is>
      </c>
      <c r="B5" t="n">
        <v>11191.43</v>
      </c>
      <c r="C5" t="n">
        <v>0</v>
      </c>
      <c r="D5" t="n">
        <v>6577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M5" t="n">
        <v>1</v>
      </c>
    </row>
    <row r="6">
      <c r="A6" t="inlineStr">
        <is>
          <t>AL'FEZ</t>
        </is>
      </c>
      <c r="B6" t="n">
        <v>7113.12</v>
      </c>
      <c r="C6" t="n">
        <v>0</v>
      </c>
      <c r="D6" t="n">
        <v>2115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M6" t="n">
        <v>1</v>
      </c>
    </row>
    <row r="7">
      <c r="A7" t="inlineStr">
        <is>
          <t>ALASKA SEAFOOD</t>
        </is>
      </c>
      <c r="B7" t="n">
        <v>231930.87</v>
      </c>
      <c r="C7" t="n">
        <v>0</v>
      </c>
      <c r="D7" t="n">
        <v>15628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M7" t="n">
        <v>1</v>
      </c>
    </row>
    <row r="8">
      <c r="A8" t="inlineStr">
        <is>
          <t>ALASKA SMOKEHOUSE</t>
        </is>
      </c>
      <c r="B8" t="n">
        <v>258603.13</v>
      </c>
      <c r="C8" t="n">
        <v>0</v>
      </c>
      <c r="D8" t="n">
        <v>43230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M8" t="n">
        <v>1</v>
      </c>
    </row>
    <row r="9">
      <c r="A9" t="inlineStr">
        <is>
          <t>ALESSI</t>
        </is>
      </c>
      <c r="B9" t="n">
        <v>34487.83</v>
      </c>
      <c r="C9" t="n">
        <v>0</v>
      </c>
      <c r="D9" t="n">
        <v>9472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M9" t="n">
        <v>1</v>
      </c>
    </row>
    <row r="10">
      <c r="A10" t="inlineStr">
        <is>
          <t>ALPHA - TRAFON GROUP</t>
        </is>
      </c>
      <c r="B10" t="n">
        <v>5.98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M10" t="n">
        <v>1</v>
      </c>
    </row>
    <row r="11">
      <c r="A11" t="inlineStr">
        <is>
          <t>ALPINA</t>
        </is>
      </c>
      <c r="B11" t="n">
        <v>42867.56</v>
      </c>
      <c r="C11" t="n">
        <v>0</v>
      </c>
      <c r="D11" t="n">
        <v>21614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M11" t="n">
        <v>1</v>
      </c>
    </row>
    <row r="12">
      <c r="A12" t="inlineStr">
        <is>
          <t>ALSTERTOR</t>
        </is>
      </c>
      <c r="B12" t="n">
        <v>234.24</v>
      </c>
      <c r="C12" t="n">
        <v>0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M12" t="n">
        <v>1</v>
      </c>
    </row>
    <row r="13">
      <c r="A13" t="inlineStr">
        <is>
          <t>AMAZING GRAINS</t>
        </is>
      </c>
      <c r="B13" t="n">
        <v>14.88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M13" t="n">
        <v>1</v>
      </c>
    </row>
    <row r="14">
      <c r="A14" t="inlineStr">
        <is>
          <t>AMY'S KITCHEN</t>
        </is>
      </c>
      <c r="B14" t="n">
        <v>7835997.210000005</v>
      </c>
      <c r="C14" t="n">
        <v>12187.950011893</v>
      </c>
      <c r="D14" t="n">
        <v>1998280</v>
      </c>
      <c r="E14" t="n">
        <v>0</v>
      </c>
      <c r="F14" t="n">
        <v>0</v>
      </c>
      <c r="G14" t="n">
        <v>0.1</v>
      </c>
      <c r="H14" t="n">
        <v>0.1</v>
      </c>
      <c r="I14" t="n">
        <v>0.1</v>
      </c>
      <c r="L14" t="n">
        <v>4</v>
      </c>
      <c r="M14" t="n">
        <v>0</v>
      </c>
    </row>
    <row r="15">
      <c r="A15" t="inlineStr">
        <is>
          <t>AMY'S KITCHEN, INC</t>
        </is>
      </c>
      <c r="B15" t="n">
        <v>82007.37</v>
      </c>
      <c r="C15" t="n">
        <v>2705.339999814</v>
      </c>
      <c r="D15" t="n">
        <v>21278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L15" t="n">
        <v>4</v>
      </c>
      <c r="M15" t="n">
        <v>0</v>
      </c>
    </row>
    <row r="16">
      <c r="A16" t="inlineStr">
        <is>
          <t>AMYLU</t>
        </is>
      </c>
      <c r="B16" t="n">
        <v>76202.73</v>
      </c>
      <c r="C16" t="n">
        <v>0</v>
      </c>
      <c r="D16" t="n">
        <v>16851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M16" t="n">
        <v>1</v>
      </c>
    </row>
    <row r="17">
      <c r="A17" t="inlineStr">
        <is>
          <t>ANNIE CHUN'S</t>
        </is>
      </c>
      <c r="B17" t="n">
        <v>2912.48</v>
      </c>
      <c r="C17" t="n">
        <v>0</v>
      </c>
      <c r="D17" t="n">
        <v>122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M17" t="n">
        <v>1</v>
      </c>
    </row>
    <row r="18">
      <c r="A18" t="inlineStr">
        <is>
          <t>ANNIE'S</t>
        </is>
      </c>
      <c r="B18" t="n">
        <v>12508.010000005</v>
      </c>
      <c r="C18" t="n">
        <v>13360.63034701</v>
      </c>
      <c r="D18" t="n">
        <v>5588</v>
      </c>
      <c r="E18" t="n">
        <v>0</v>
      </c>
      <c r="F18" t="n">
        <v>0</v>
      </c>
      <c r="G18" t="n">
        <v>0</v>
      </c>
      <c r="H18" t="n">
        <v>0</v>
      </c>
      <c r="I18" t="n">
        <v>0.1</v>
      </c>
      <c r="M18" t="n">
        <v>0</v>
      </c>
    </row>
    <row r="19">
      <c r="A19" t="inlineStr">
        <is>
          <t>ARGETA</t>
        </is>
      </c>
      <c r="B19" t="n">
        <v>295.12</v>
      </c>
      <c r="C19" t="n">
        <v>0</v>
      </c>
      <c r="D19" t="n">
        <v>119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M19" t="n">
        <v>1</v>
      </c>
    </row>
    <row r="20">
      <c r="A20" t="inlineStr">
        <is>
          <t>ARMOUR</t>
        </is>
      </c>
      <c r="B20" t="n">
        <v>314797771.9598333</v>
      </c>
      <c r="C20" t="n">
        <v>0</v>
      </c>
      <c r="D20" t="n">
        <v>138261755</v>
      </c>
      <c r="E20" t="n">
        <v>1</v>
      </c>
      <c r="F20" t="n">
        <v>0</v>
      </c>
      <c r="G20" t="n">
        <v>6</v>
      </c>
      <c r="H20" t="n">
        <v>6</v>
      </c>
      <c r="I20" t="n">
        <v>0</v>
      </c>
      <c r="M20" t="n">
        <v>1</v>
      </c>
    </row>
    <row r="21">
      <c r="A21" t="inlineStr">
        <is>
          <t>AUNT DOTS</t>
        </is>
      </c>
      <c r="B21" t="n">
        <v>129012.76</v>
      </c>
      <c r="C21" t="n">
        <v>0</v>
      </c>
      <c r="D21" t="n">
        <v>77937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M21" t="n">
        <v>1</v>
      </c>
    </row>
    <row r="22">
      <c r="A22" t="inlineStr">
        <is>
          <t>AZALEA SEAFOOD</t>
        </is>
      </c>
      <c r="B22" t="n">
        <v>118.56</v>
      </c>
      <c r="C22" t="n">
        <v>0</v>
      </c>
      <c r="D22" t="n">
        <v>12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M22" t="n">
        <v>1</v>
      </c>
    </row>
    <row r="23">
      <c r="A23" t="inlineStr">
        <is>
          <t>BAKALARS SAUSAGE</t>
        </is>
      </c>
      <c r="B23" t="n">
        <v>32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M23" t="n">
        <v>1</v>
      </c>
    </row>
    <row r="24">
      <c r="A24" t="inlineStr">
        <is>
          <t>BANNER</t>
        </is>
      </c>
      <c r="B24" t="n">
        <v>4464.61</v>
      </c>
      <c r="C24" t="n">
        <v>0</v>
      </c>
      <c r="D24" t="n">
        <v>463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M24" t="n">
        <v>1</v>
      </c>
    </row>
    <row r="25">
      <c r="A25" t="inlineStr">
        <is>
          <t>BANZA</t>
        </is>
      </c>
      <c r="B25" t="n">
        <v>396368.480000002</v>
      </c>
      <c r="C25" t="n">
        <v>5476.075525322</v>
      </c>
      <c r="D25" t="n">
        <v>83986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M25" t="n">
        <v>0</v>
      </c>
    </row>
    <row r="26">
      <c r="A26" t="inlineStr">
        <is>
          <t>BAR HARBOR</t>
        </is>
      </c>
      <c r="B26" t="n">
        <v>1419032.35</v>
      </c>
      <c r="C26" t="n">
        <v>0</v>
      </c>
      <c r="D26" t="n">
        <v>506681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M26" t="n">
        <v>1</v>
      </c>
    </row>
    <row r="27">
      <c r="A27" t="inlineStr">
        <is>
          <t>BARILLA</t>
        </is>
      </c>
      <c r="B27" t="n">
        <v>243530.963333334</v>
      </c>
      <c r="C27" t="n">
        <v>0</v>
      </c>
      <c r="D27" t="n">
        <v>111348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M27" t="n">
        <v>1</v>
      </c>
    </row>
    <row r="28">
      <c r="A28" t="inlineStr">
        <is>
          <t>BATTISTONI</t>
        </is>
      </c>
      <c r="B28" t="n">
        <v>508.95</v>
      </c>
      <c r="C28" t="n">
        <v>0</v>
      </c>
      <c r="D28" t="n">
        <v>135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M28" t="n">
        <v>1</v>
      </c>
    </row>
    <row r="29">
      <c r="A29" t="inlineStr">
        <is>
          <t>BAY BEAUTY</t>
        </is>
      </c>
      <c r="B29" t="n">
        <v>12.96</v>
      </c>
      <c r="C29" t="n">
        <v>0</v>
      </c>
      <c r="D29" t="n">
        <v>4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M29" t="n">
        <v>1</v>
      </c>
    </row>
    <row r="30">
      <c r="A30" t="inlineStr">
        <is>
          <t>BEACH CLIFF</t>
        </is>
      </c>
      <c r="B30" t="n">
        <v>38785956.71166666</v>
      </c>
      <c r="C30" t="n">
        <v>47630.66062534401</v>
      </c>
      <c r="D30" t="n">
        <v>33420910</v>
      </c>
      <c r="E30" t="n">
        <v>0</v>
      </c>
      <c r="F30" t="n">
        <v>0</v>
      </c>
      <c r="G30" t="n">
        <v>0.7</v>
      </c>
      <c r="H30" t="n">
        <v>1.5</v>
      </c>
      <c r="I30" t="n">
        <v>0.3</v>
      </c>
      <c r="M30" t="n">
        <v>0</v>
      </c>
    </row>
    <row r="31">
      <c r="A31" t="inlineStr">
        <is>
          <t>BEANVIVO</t>
        </is>
      </c>
      <c r="B31" t="n">
        <v>799.21</v>
      </c>
      <c r="C31" t="n">
        <v>0</v>
      </c>
      <c r="D31" t="n">
        <v>49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M31" t="n">
        <v>1</v>
      </c>
    </row>
    <row r="32">
      <c r="A32" t="inlineStr">
        <is>
          <t>BEAR CREEK</t>
        </is>
      </c>
      <c r="B32" t="n">
        <v>-8.15</v>
      </c>
      <c r="C32" t="n">
        <v>0</v>
      </c>
      <c r="D32" t="n">
        <v>-2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M32" t="n">
        <v>1</v>
      </c>
    </row>
    <row r="33">
      <c r="A33" t="inlineStr">
        <is>
          <t>BELLINO</t>
        </is>
      </c>
      <c r="B33" t="n">
        <v>523.21</v>
      </c>
      <c r="C33" t="n">
        <v>0</v>
      </c>
      <c r="D33" t="n">
        <v>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M33" t="n">
        <v>1</v>
      </c>
    </row>
    <row r="34">
      <c r="A34" t="inlineStr">
        <is>
          <t>BEN'S ORIGINAL</t>
        </is>
      </c>
      <c r="B34" t="n">
        <v>3855654.71</v>
      </c>
      <c r="C34" t="n">
        <v>509014.963309533</v>
      </c>
      <c r="D34" t="n">
        <v>1160790</v>
      </c>
      <c r="E34" t="n">
        <v>0</v>
      </c>
      <c r="F34" t="n">
        <v>0</v>
      </c>
      <c r="G34" t="n">
        <v>0.1</v>
      </c>
      <c r="H34" t="n">
        <v>0.1</v>
      </c>
      <c r="I34" t="n">
        <v>2.8</v>
      </c>
      <c r="L34" t="n">
        <v>3</v>
      </c>
      <c r="M34" t="n">
        <v>0</v>
      </c>
    </row>
    <row r="35">
      <c r="A35" t="inlineStr">
        <is>
          <t>BERETTA</t>
        </is>
      </c>
      <c r="B35" t="n">
        <v>597.08</v>
      </c>
      <c r="C35" t="n">
        <v>0</v>
      </c>
      <c r="D35" t="n">
        <v>46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M35" t="n">
        <v>1</v>
      </c>
    </row>
    <row r="36">
      <c r="A36" t="inlineStr">
        <is>
          <t>BEST FOODS</t>
        </is>
      </c>
      <c r="B36" t="n">
        <v>2.56</v>
      </c>
      <c r="C36" t="n">
        <v>3730.750782917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M36" t="n">
        <v>0</v>
      </c>
    </row>
    <row r="37">
      <c r="A37" t="inlineStr">
        <is>
          <t>BETTERGOODS</t>
        </is>
      </c>
      <c r="B37" t="n">
        <v>6122824.4</v>
      </c>
      <c r="C37" t="n">
        <v>0</v>
      </c>
      <c r="D37" t="n">
        <v>2055448</v>
      </c>
      <c r="E37" t="n">
        <v>1</v>
      </c>
      <c r="F37" t="n">
        <v>0</v>
      </c>
      <c r="G37" t="n">
        <v>0.1</v>
      </c>
      <c r="H37" t="n">
        <v>0.1</v>
      </c>
      <c r="I37" t="n">
        <v>0</v>
      </c>
      <c r="M37" t="n">
        <v>1</v>
      </c>
    </row>
    <row r="38">
      <c r="A38" t="inlineStr">
        <is>
          <t>BETTY CROCKER</t>
        </is>
      </c>
      <c r="B38" t="n">
        <v>2.98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M38" t="n">
        <v>1</v>
      </c>
    </row>
    <row r="39">
      <c r="A39" t="inlineStr">
        <is>
          <t>BEVERLY</t>
        </is>
      </c>
      <c r="B39" t="n">
        <v>1735105.19</v>
      </c>
      <c r="C39" t="n">
        <v>0</v>
      </c>
      <c r="D39" t="n">
        <v>653947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M39" t="n">
        <v>1</v>
      </c>
    </row>
    <row r="40">
      <c r="A40" t="inlineStr">
        <is>
          <t>BIBIGO</t>
        </is>
      </c>
      <c r="B40" t="n">
        <v>88144.79999999999</v>
      </c>
      <c r="C40" t="n">
        <v>5540.799025356</v>
      </c>
      <c r="D40" t="n">
        <v>40420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M40" t="n">
        <v>0</v>
      </c>
    </row>
    <row r="41">
      <c r="A41" t="inlineStr">
        <is>
          <t>BIG JOHN'S</t>
        </is>
      </c>
      <c r="B41" t="n">
        <v>1750843.925</v>
      </c>
      <c r="C41" t="n">
        <v>165.979999764</v>
      </c>
      <c r="D41" t="n">
        <v>188291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M41" t="n">
        <v>0</v>
      </c>
    </row>
    <row r="42">
      <c r="A42" t="inlineStr">
        <is>
          <t>BLACK TOP</t>
        </is>
      </c>
      <c r="B42" t="n">
        <v>13602228.22999999</v>
      </c>
      <c r="C42" t="n">
        <v>0</v>
      </c>
      <c r="D42" t="n">
        <v>3698548</v>
      </c>
      <c r="E42" t="n">
        <v>1</v>
      </c>
      <c r="F42" t="n">
        <v>0</v>
      </c>
      <c r="G42" t="n">
        <v>0.3</v>
      </c>
      <c r="H42" t="n">
        <v>0.2</v>
      </c>
      <c r="I42" t="n">
        <v>0</v>
      </c>
      <c r="M42" t="n">
        <v>1</v>
      </c>
    </row>
    <row r="43">
      <c r="A43" t="inlineStr">
        <is>
          <t>BLUE BONNET</t>
        </is>
      </c>
      <c r="B43" t="n">
        <v>180.06</v>
      </c>
      <c r="C43" t="n">
        <v>0</v>
      </c>
      <c r="D43" t="n">
        <v>112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M43" t="n">
        <v>1</v>
      </c>
    </row>
    <row r="44">
      <c r="A44" t="inlineStr">
        <is>
          <t>BLUE CORAL SEA FOOD</t>
        </is>
      </c>
      <c r="B44" t="n">
        <v>59121.64</v>
      </c>
      <c r="C44" t="n">
        <v>0</v>
      </c>
      <c r="D44" t="n">
        <v>6890.07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M44" t="n">
        <v>1</v>
      </c>
    </row>
    <row r="45">
      <c r="A45" t="inlineStr">
        <is>
          <t>BLUE HARBOR FISH CO.</t>
        </is>
      </c>
      <c r="B45" t="n">
        <v>3542.57</v>
      </c>
      <c r="C45" t="n">
        <v>0</v>
      </c>
      <c r="D45" t="n">
        <v>378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M45" t="n">
        <v>1</v>
      </c>
    </row>
    <row r="46">
      <c r="A46" t="inlineStr">
        <is>
          <t>BLUE PLATE MAYONNAISE</t>
        </is>
      </c>
      <c r="B46" t="n">
        <v>111424.53</v>
      </c>
      <c r="C46" t="n">
        <v>0</v>
      </c>
      <c r="D46" t="n">
        <v>28764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M46" t="n">
        <v>1</v>
      </c>
    </row>
    <row r="47">
      <c r="A47" t="inlineStr">
        <is>
          <t>BOHIO</t>
        </is>
      </c>
      <c r="B47" t="n">
        <v>227968.41</v>
      </c>
      <c r="C47" t="n">
        <v>0</v>
      </c>
      <c r="D47" t="n">
        <v>91923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M47" t="n">
        <v>1</v>
      </c>
    </row>
    <row r="48">
      <c r="A48" t="inlineStr">
        <is>
          <t>BORN SIMPLE</t>
        </is>
      </c>
      <c r="B48" t="n">
        <v>780746.12</v>
      </c>
      <c r="C48" t="n">
        <v>179044.544187612</v>
      </c>
      <c r="D48" t="n">
        <v>197592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M48" t="n">
        <v>0</v>
      </c>
    </row>
    <row r="49">
      <c r="A49" t="inlineStr">
        <is>
          <t>BRISTOL BREWING COMPANY</t>
        </is>
      </c>
      <c r="B49" t="n">
        <v>13983470.9892014</v>
      </c>
      <c r="C49" t="n">
        <v>13596.270019959</v>
      </c>
      <c r="D49" t="n">
        <v>3594346</v>
      </c>
      <c r="E49" t="n">
        <v>0</v>
      </c>
      <c r="F49" t="n">
        <v>0</v>
      </c>
      <c r="G49" t="n">
        <v>0.3</v>
      </c>
      <c r="H49" t="n">
        <v>0.2</v>
      </c>
      <c r="I49" t="n">
        <v>0.1</v>
      </c>
      <c r="M49" t="n">
        <v>0</v>
      </c>
    </row>
    <row r="50">
      <c r="A50" t="inlineStr">
        <is>
          <t>BROOKWOOD FARMS</t>
        </is>
      </c>
      <c r="B50" t="n">
        <v>4059026.15</v>
      </c>
      <c r="C50" t="n">
        <v>0</v>
      </c>
      <c r="D50" t="n">
        <v>817726</v>
      </c>
      <c r="E50" t="n">
        <v>1</v>
      </c>
      <c r="F50" t="n">
        <v>0</v>
      </c>
      <c r="G50" t="n">
        <v>0.1</v>
      </c>
      <c r="H50" t="n">
        <v>0</v>
      </c>
      <c r="I50" t="n">
        <v>0</v>
      </c>
      <c r="M50" t="n">
        <v>1</v>
      </c>
    </row>
    <row r="51">
      <c r="A51" t="inlineStr">
        <is>
          <t>BROTHER AND SISTER</t>
        </is>
      </c>
      <c r="B51" t="n">
        <v>348.6</v>
      </c>
      <c r="C51" t="n">
        <v>0</v>
      </c>
      <c r="D51" t="n">
        <v>70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M51" t="n">
        <v>1</v>
      </c>
    </row>
    <row r="52">
      <c r="A52" t="inlineStr">
        <is>
          <t>BROWNBERRY</t>
        </is>
      </c>
      <c r="B52" t="n">
        <v>1352770.69</v>
      </c>
      <c r="C52" t="n">
        <v>15389.115288607</v>
      </c>
      <c r="D52" t="n">
        <v>226335</v>
      </c>
      <c r="E52" t="n">
        <v>0</v>
      </c>
      <c r="F52" t="n">
        <v>0</v>
      </c>
      <c r="G52" t="n">
        <v>0</v>
      </c>
      <c r="H52" t="n">
        <v>0</v>
      </c>
      <c r="I52" t="n">
        <v>0.1</v>
      </c>
      <c r="M52" t="n">
        <v>0</v>
      </c>
    </row>
    <row r="53">
      <c r="A53" t="inlineStr">
        <is>
          <t>BRUNSWICK</t>
        </is>
      </c>
      <c r="B53" t="n">
        <v>11898517.01</v>
      </c>
      <c r="C53" t="n">
        <v>7.600000114</v>
      </c>
      <c r="D53" t="n">
        <v>6516880</v>
      </c>
      <c r="E53" t="n">
        <v>0</v>
      </c>
      <c r="F53" t="n">
        <v>0</v>
      </c>
      <c r="G53" t="n">
        <v>0.2</v>
      </c>
      <c r="H53" t="n">
        <v>0.3</v>
      </c>
      <c r="I53" t="n">
        <v>0</v>
      </c>
      <c r="M53" t="n">
        <v>0</v>
      </c>
    </row>
    <row r="54">
      <c r="A54" t="inlineStr">
        <is>
          <t>BRYAN</t>
        </is>
      </c>
      <c r="B54" t="n">
        <v>2319866.98</v>
      </c>
      <c r="C54" t="n">
        <v>0</v>
      </c>
      <c r="D54" t="n">
        <v>2344268</v>
      </c>
      <c r="E54" t="n">
        <v>1</v>
      </c>
      <c r="F54" t="n">
        <v>0</v>
      </c>
      <c r="G54" t="n">
        <v>0</v>
      </c>
      <c r="H54" t="n">
        <v>0.1</v>
      </c>
      <c r="I54" t="n">
        <v>0</v>
      </c>
      <c r="M54" t="n">
        <v>1</v>
      </c>
    </row>
    <row r="55">
      <c r="A55" t="inlineStr">
        <is>
          <t>BUENO</t>
        </is>
      </c>
      <c r="B55" t="n">
        <v>285559.22</v>
      </c>
      <c r="C55" t="n">
        <v>81.24000106699998</v>
      </c>
      <c r="D55" t="n">
        <v>28325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M55" t="n">
        <v>0</v>
      </c>
    </row>
    <row r="56">
      <c r="A56" t="inlineStr">
        <is>
          <t>BUENO FOODS</t>
        </is>
      </c>
      <c r="B56" t="n">
        <v>41159.34</v>
      </c>
      <c r="C56" t="n">
        <v>406.987826207</v>
      </c>
      <c r="D56" t="n">
        <v>3875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M56" t="n">
        <v>0</v>
      </c>
    </row>
    <row r="57">
      <c r="A57" t="inlineStr">
        <is>
          <t>BUMBLE BEE</t>
        </is>
      </c>
      <c r="B57" t="n">
        <v>349687502.7078501</v>
      </c>
      <c r="C57" t="n">
        <v>1417766.030213475</v>
      </c>
      <c r="D57" t="n">
        <v>143767334.46</v>
      </c>
      <c r="E57" t="n">
        <v>0</v>
      </c>
      <c r="F57" t="n">
        <v>0</v>
      </c>
      <c r="G57" t="n">
        <v>6.7</v>
      </c>
      <c r="H57" t="n">
        <v>6.3</v>
      </c>
      <c r="I57" t="n">
        <v>7.7</v>
      </c>
      <c r="M57" t="n">
        <v>0</v>
      </c>
    </row>
    <row r="58">
      <c r="A58" t="inlineStr">
        <is>
          <t>BUSH'S</t>
        </is>
      </c>
      <c r="B58" t="n">
        <v>3.48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M58" t="n">
        <v>1</v>
      </c>
    </row>
    <row r="59">
      <c r="A59" t="inlineStr">
        <is>
          <t>BUTTERFIELD FARMS</t>
        </is>
      </c>
      <c r="B59" t="n">
        <v>3318127.17</v>
      </c>
      <c r="C59" t="n">
        <v>0</v>
      </c>
      <c r="D59" t="n">
        <v>808816</v>
      </c>
      <c r="E59" t="n">
        <v>1</v>
      </c>
      <c r="F59" t="n">
        <v>0</v>
      </c>
      <c r="G59" t="n">
        <v>0.1</v>
      </c>
      <c r="H59" t="n">
        <v>0</v>
      </c>
      <c r="I59" t="n">
        <v>0</v>
      </c>
      <c r="M59" t="n">
        <v>1</v>
      </c>
    </row>
    <row r="60">
      <c r="A60" t="inlineStr">
        <is>
          <t>CAF SELLO ROJO</t>
        </is>
      </c>
      <c r="B60" t="n">
        <v>74916.81999999999</v>
      </c>
      <c r="C60" t="n">
        <v>0</v>
      </c>
      <c r="D60" t="n">
        <v>31631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M60" t="n">
        <v>1</v>
      </c>
    </row>
    <row r="61">
      <c r="A61" t="inlineStr">
        <is>
          <t>CAFÉ SELLO ROJO</t>
        </is>
      </c>
      <c r="B61" t="n">
        <v>8931.940000000001</v>
      </c>
      <c r="C61" t="n">
        <v>0</v>
      </c>
      <c r="D61" t="n">
        <v>3769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M61" t="n">
        <v>1</v>
      </c>
    </row>
    <row r="62">
      <c r="A62" t="inlineStr">
        <is>
          <t>CAJUN TWO STEP</t>
        </is>
      </c>
      <c r="B62" t="n">
        <v>390195.3199999999</v>
      </c>
      <c r="C62" t="n">
        <v>0</v>
      </c>
      <c r="D62" t="n">
        <v>70063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M62" t="n">
        <v>1</v>
      </c>
    </row>
    <row r="63">
      <c r="A63" t="inlineStr">
        <is>
          <t>CALIFORNIA GIRL</t>
        </is>
      </c>
      <c r="B63" t="n">
        <v>10845777.13</v>
      </c>
      <c r="C63" t="n">
        <v>0</v>
      </c>
      <c r="D63" t="n">
        <v>5368186</v>
      </c>
      <c r="E63" t="n">
        <v>1</v>
      </c>
      <c r="F63" t="n">
        <v>0</v>
      </c>
      <c r="G63" t="n">
        <v>0.2</v>
      </c>
      <c r="H63" t="n">
        <v>0.2</v>
      </c>
      <c r="I63" t="n">
        <v>0</v>
      </c>
      <c r="M63" t="n">
        <v>1</v>
      </c>
    </row>
    <row r="64">
      <c r="A64" t="inlineStr">
        <is>
          <t>CAMELLIA</t>
        </is>
      </c>
      <c r="B64" t="n">
        <v>-0.75</v>
      </c>
      <c r="C64" t="n">
        <v>0</v>
      </c>
      <c r="D64" t="n">
        <v>-1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M64" t="n">
        <v>1</v>
      </c>
    </row>
    <row r="65">
      <c r="A65" t="inlineStr">
        <is>
          <t>CAMPBELL'S</t>
        </is>
      </c>
      <c r="B65" t="n">
        <v>13.41</v>
      </c>
      <c r="C65" t="n">
        <v>0</v>
      </c>
      <c r="D65" t="n">
        <v>14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M65" t="n">
        <v>1</v>
      </c>
    </row>
    <row r="66">
      <c r="A66" t="inlineStr">
        <is>
          <t>CAMPBELL'S READY MEALS</t>
        </is>
      </c>
      <c r="B66" t="n">
        <v>1.6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M66" t="n">
        <v>1</v>
      </c>
    </row>
    <row r="67">
      <c r="A67" t="inlineStr">
        <is>
          <t>CAMPBELLS HEALTHY REQUEST</t>
        </is>
      </c>
      <c r="B67" t="n">
        <v>7.920000000000001</v>
      </c>
      <c r="C67" t="n">
        <v>0</v>
      </c>
      <c r="D67" t="n">
        <v>4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L67" t="n">
        <v>2</v>
      </c>
      <c r="M67" t="n">
        <v>0</v>
      </c>
    </row>
    <row r="68">
      <c r="A68" t="inlineStr">
        <is>
          <t>CANARIO</t>
        </is>
      </c>
      <c r="B68" t="n">
        <v>267144.84</v>
      </c>
      <c r="C68" t="n">
        <v>0</v>
      </c>
      <c r="D68" t="n">
        <v>108593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M68" t="n">
        <v>1</v>
      </c>
    </row>
    <row r="69">
      <c r="A69" t="inlineStr">
        <is>
          <t>CANNED ALBO</t>
        </is>
      </c>
      <c r="B69" t="n">
        <v>51249.81</v>
      </c>
      <c r="C69" t="n">
        <v>0</v>
      </c>
      <c r="D69" t="n">
        <v>11368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M69" t="n">
        <v>1</v>
      </c>
    </row>
    <row r="70">
      <c r="A70" t="inlineStr">
        <is>
          <t>CANOE</t>
        </is>
      </c>
      <c r="B70" t="n">
        <v>20897.07</v>
      </c>
      <c r="C70" t="n">
        <v>0</v>
      </c>
      <c r="D70" t="n">
        <v>423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M70" t="n">
        <v>1</v>
      </c>
    </row>
    <row r="71">
      <c r="A71" t="inlineStr">
        <is>
          <t>CARIBBEAN RHYTHM</t>
        </is>
      </c>
      <c r="B71" t="n">
        <v>10662.85</v>
      </c>
      <c r="C71" t="n">
        <v>0</v>
      </c>
      <c r="D71" t="n">
        <v>2246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M71" t="n">
        <v>1</v>
      </c>
    </row>
    <row r="72">
      <c r="A72" t="inlineStr">
        <is>
          <t>CARIBBEAN SUNSHINE</t>
        </is>
      </c>
      <c r="B72" t="n">
        <v>133.4</v>
      </c>
      <c r="C72" t="n">
        <v>0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M72" t="n">
        <v>1</v>
      </c>
    </row>
    <row r="73">
      <c r="A73" t="inlineStr">
        <is>
          <t>CARMELA HOME</t>
        </is>
      </c>
      <c r="B73" t="n">
        <v>21539633.34</v>
      </c>
      <c r="C73" t="n">
        <v>0</v>
      </c>
      <c r="D73" t="n">
        <v>30226244</v>
      </c>
      <c r="E73" t="n">
        <v>1</v>
      </c>
      <c r="F73" t="n">
        <v>0</v>
      </c>
      <c r="G73" t="n">
        <v>0.4</v>
      </c>
      <c r="H73" t="n">
        <v>1.3</v>
      </c>
      <c r="I73" t="n">
        <v>0</v>
      </c>
      <c r="M73" t="n">
        <v>1</v>
      </c>
    </row>
    <row r="74">
      <c r="A74" t="inlineStr">
        <is>
          <t>CAROLINA</t>
        </is>
      </c>
      <c r="B74" t="n">
        <v>54437.4</v>
      </c>
      <c r="C74" t="n">
        <v>3184.830007166001</v>
      </c>
      <c r="D74" t="n">
        <v>32251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M74" t="n">
        <v>0</v>
      </c>
    </row>
    <row r="75">
      <c r="A75" t="inlineStr">
        <is>
          <t>CASTLEBERRY'S</t>
        </is>
      </c>
      <c r="B75" t="n">
        <v>13274071.3</v>
      </c>
      <c r="C75" t="n">
        <v>1192.480006264</v>
      </c>
      <c r="D75" t="n">
        <v>9883734</v>
      </c>
      <c r="E75" t="n">
        <v>0</v>
      </c>
      <c r="F75" t="n">
        <v>0</v>
      </c>
      <c r="G75" t="n">
        <v>0.3</v>
      </c>
      <c r="H75" t="n">
        <v>0.4</v>
      </c>
      <c r="I75" t="n">
        <v>0</v>
      </c>
      <c r="M75" t="n">
        <v>0</v>
      </c>
    </row>
    <row r="76">
      <c r="A76" t="inlineStr">
        <is>
          <t>CEDEIRA</t>
        </is>
      </c>
      <c r="B76" t="n">
        <v>2212096.98</v>
      </c>
      <c r="C76" t="n">
        <v>0</v>
      </c>
      <c r="D76" t="n">
        <v>1263086</v>
      </c>
      <c r="E76" t="n">
        <v>1</v>
      </c>
      <c r="F76" t="n">
        <v>0</v>
      </c>
      <c r="G76" t="n">
        <v>0</v>
      </c>
      <c r="H76" t="n">
        <v>0.1</v>
      </c>
      <c r="I76" t="n">
        <v>0</v>
      </c>
      <c r="M76" t="n">
        <v>1</v>
      </c>
    </row>
    <row r="77">
      <c r="A77" t="inlineStr">
        <is>
          <t>CELEBRITY MANIKINS</t>
        </is>
      </c>
      <c r="B77" t="n">
        <v>83.64</v>
      </c>
      <c r="C77" t="n">
        <v>0</v>
      </c>
      <c r="D77" t="n">
        <v>27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M77" t="n">
        <v>1</v>
      </c>
    </row>
    <row r="78">
      <c r="A78" t="inlineStr">
        <is>
          <t>CENTO</t>
        </is>
      </c>
      <c r="B78" t="n">
        <v>2626294.28</v>
      </c>
      <c r="C78" t="n">
        <v>138.199998563</v>
      </c>
      <c r="D78" t="n">
        <v>1337670</v>
      </c>
      <c r="E78" t="n">
        <v>0</v>
      </c>
      <c r="F78" t="n">
        <v>0</v>
      </c>
      <c r="G78" t="n">
        <v>0.1</v>
      </c>
      <c r="H78" t="n">
        <v>0.1</v>
      </c>
      <c r="I78" t="n">
        <v>0</v>
      </c>
      <c r="M78" t="n">
        <v>0</v>
      </c>
    </row>
    <row r="79">
      <c r="A79" t="inlineStr">
        <is>
          <t>CENTURY</t>
        </is>
      </c>
      <c r="B79" t="n">
        <v>2.94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M79" t="n">
        <v>1</v>
      </c>
    </row>
    <row r="80">
      <c r="A80" t="inlineStr">
        <is>
          <t>CERTIFIED HUMANE RAISED AND HANDLED</t>
        </is>
      </c>
      <c r="B80" t="n">
        <v>0</v>
      </c>
      <c r="C80" t="n">
        <v>2282.815780405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M80" t="n">
        <v>1</v>
      </c>
    </row>
    <row r="81">
      <c r="A81" t="inlineStr">
        <is>
          <t>CHEETOS</t>
        </is>
      </c>
      <c r="B81" t="n">
        <v>752136.0800000001</v>
      </c>
      <c r="C81" t="n">
        <v>9452.111832347</v>
      </c>
      <c r="D81" t="n">
        <v>306103</v>
      </c>
      <c r="E81" t="n">
        <v>0</v>
      </c>
      <c r="F81" t="n">
        <v>0</v>
      </c>
      <c r="G81" t="n">
        <v>0</v>
      </c>
      <c r="H81" t="n">
        <v>0</v>
      </c>
      <c r="I81" t="n">
        <v>0.1</v>
      </c>
      <c r="M81" t="n">
        <v>0</v>
      </c>
    </row>
    <row r="82">
      <c r="A82" t="inlineStr">
        <is>
          <t>CHEF SORAYA</t>
        </is>
      </c>
      <c r="B82" t="n">
        <v>522.83</v>
      </c>
      <c r="C82" t="n">
        <v>0</v>
      </c>
      <c r="D82" t="n">
        <v>239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M82" t="n">
        <v>1</v>
      </c>
    </row>
    <row r="83">
      <c r="A83" t="inlineStr">
        <is>
          <t>CHEF WOO</t>
        </is>
      </c>
      <c r="B83" t="n">
        <v>63045.46</v>
      </c>
      <c r="C83" t="n">
        <v>0</v>
      </c>
      <c r="D83" t="n">
        <v>37284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M83" t="n">
        <v>1</v>
      </c>
    </row>
    <row r="84">
      <c r="A84" t="inlineStr">
        <is>
          <t>CHEF-MATE</t>
        </is>
      </c>
      <c r="B84" t="n">
        <v>36324.680000002</v>
      </c>
      <c r="C84" t="n">
        <v>1981.510011633</v>
      </c>
      <c r="D84" t="n">
        <v>1770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M84" t="n">
        <v>0</v>
      </c>
    </row>
    <row r="85">
      <c r="A85" t="inlineStr">
        <is>
          <t>CHICKEN OF THE SEA</t>
        </is>
      </c>
      <c r="B85" t="n">
        <v>179811272.1866667</v>
      </c>
      <c r="C85" t="n">
        <v>510813.3488217321</v>
      </c>
      <c r="D85" t="n">
        <v>80833416</v>
      </c>
      <c r="E85" t="n">
        <v>0</v>
      </c>
      <c r="F85" t="n">
        <v>0</v>
      </c>
      <c r="G85" t="n">
        <v>3.4</v>
      </c>
      <c r="H85" t="n">
        <v>3.5</v>
      </c>
      <c r="I85" t="n">
        <v>2.8</v>
      </c>
      <c r="M85" t="n">
        <v>0</v>
      </c>
    </row>
    <row r="86">
      <c r="A86" t="inlineStr">
        <is>
          <t>CHILLI MAN</t>
        </is>
      </c>
      <c r="B86" t="n">
        <v>2524533.32</v>
      </c>
      <c r="C86" t="n">
        <v>44275.539926608</v>
      </c>
      <c r="D86" t="n">
        <v>1117131</v>
      </c>
      <c r="E86" t="n">
        <v>0</v>
      </c>
      <c r="F86" t="n">
        <v>0</v>
      </c>
      <c r="G86" t="n">
        <v>0</v>
      </c>
      <c r="H86" t="n">
        <v>0</v>
      </c>
      <c r="I86" t="n">
        <v>0.2</v>
      </c>
      <c r="M86" t="n">
        <v>0</v>
      </c>
    </row>
    <row r="87">
      <c r="A87" t="inlineStr">
        <is>
          <t>CHUNKY</t>
        </is>
      </c>
      <c r="B87" t="n">
        <v>36199771.98</v>
      </c>
      <c r="C87" t="n">
        <v>145478.405084136</v>
      </c>
      <c r="D87" t="n">
        <v>13420461</v>
      </c>
      <c r="E87" t="n">
        <v>0</v>
      </c>
      <c r="F87" t="n">
        <v>0</v>
      </c>
      <c r="G87" t="n">
        <v>0.7</v>
      </c>
      <c r="H87" t="n">
        <v>0.6</v>
      </c>
      <c r="I87" t="n">
        <v>0.8</v>
      </c>
      <c r="L87" t="n">
        <v>2</v>
      </c>
      <c r="M87" t="n">
        <v>0</v>
      </c>
    </row>
    <row r="88">
      <c r="A88" t="inlineStr">
        <is>
          <t>CINCINNATI RECIPE</t>
        </is>
      </c>
      <c r="B88" t="n">
        <v>2032901.839999999</v>
      </c>
      <c r="C88" t="n">
        <v>0</v>
      </c>
      <c r="D88" t="n">
        <v>462635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M88" t="n">
        <v>1</v>
      </c>
    </row>
    <row r="89">
      <c r="A89" t="inlineStr">
        <is>
          <t>COLE'S</t>
        </is>
      </c>
      <c r="B89" t="n">
        <v>3537309.53</v>
      </c>
      <c r="C89" t="n">
        <v>55769.00021045801</v>
      </c>
      <c r="D89" t="n">
        <v>788178</v>
      </c>
      <c r="E89" t="n">
        <v>0</v>
      </c>
      <c r="F89" t="n">
        <v>0</v>
      </c>
      <c r="G89" t="n">
        <v>0.1</v>
      </c>
      <c r="H89" t="n">
        <v>0</v>
      </c>
      <c r="I89" t="n">
        <v>0.3</v>
      </c>
      <c r="M89" t="n">
        <v>0</v>
      </c>
    </row>
    <row r="90">
      <c r="A90" t="inlineStr">
        <is>
          <t>COLOSO</t>
        </is>
      </c>
      <c r="B90" t="n">
        <v>264083.53</v>
      </c>
      <c r="C90" t="n">
        <v>0</v>
      </c>
      <c r="D90" t="n">
        <v>130097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M90" t="n">
        <v>1</v>
      </c>
    </row>
    <row r="91">
      <c r="A91" t="inlineStr">
        <is>
          <t>COMING SOON</t>
        </is>
      </c>
      <c r="B91" t="n">
        <v>15954.61</v>
      </c>
      <c r="C91" t="n">
        <v>51.59120851700001</v>
      </c>
      <c r="D91" t="n">
        <v>6184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K91" t="n">
        <v>1</v>
      </c>
      <c r="M91" t="n">
        <v>1</v>
      </c>
    </row>
    <row r="92">
      <c r="A92" t="inlineStr">
        <is>
          <t>COMPANION</t>
        </is>
      </c>
      <c r="B92" t="n">
        <v>59.68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M92" t="n">
        <v>1</v>
      </c>
    </row>
    <row r="93">
      <c r="A93" t="inlineStr">
        <is>
          <t>COMPLEATS</t>
        </is>
      </c>
      <c r="B93" t="n">
        <v>68160247.14967652</v>
      </c>
      <c r="C93" t="n">
        <v>312664.7349217681</v>
      </c>
      <c r="D93" t="n">
        <v>30100576</v>
      </c>
      <c r="E93" t="n">
        <v>0</v>
      </c>
      <c r="F93" t="n">
        <v>0</v>
      </c>
      <c r="G93" t="n">
        <v>1.3</v>
      </c>
      <c r="H93" t="n">
        <v>1.3</v>
      </c>
      <c r="I93" t="n">
        <v>1.7</v>
      </c>
      <c r="M93" t="n">
        <v>0</v>
      </c>
    </row>
    <row r="94">
      <c r="A94" t="inlineStr">
        <is>
          <t>CONAGRA BRANDS</t>
        </is>
      </c>
      <c r="B94" t="n">
        <v>123156091.57</v>
      </c>
      <c r="C94" t="n">
        <v>29472.870153172</v>
      </c>
      <c r="D94" t="n">
        <v>49904717</v>
      </c>
      <c r="E94" t="n">
        <v>0</v>
      </c>
      <c r="F94" t="n">
        <v>0</v>
      </c>
      <c r="G94" t="n">
        <v>2.3</v>
      </c>
      <c r="H94" t="n">
        <v>2.2</v>
      </c>
      <c r="I94" t="n">
        <v>0.2</v>
      </c>
      <c r="M94" t="n">
        <v>0</v>
      </c>
    </row>
    <row r="95">
      <c r="A95" t="inlineStr">
        <is>
          <t>CORA</t>
        </is>
      </c>
      <c r="B95" t="n">
        <v>737.51</v>
      </c>
      <c r="C95" t="n">
        <v>0</v>
      </c>
      <c r="D95" t="n">
        <v>248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M95" t="n">
        <v>1</v>
      </c>
    </row>
    <row r="96">
      <c r="A96" t="inlineStr">
        <is>
          <t>CORAL</t>
        </is>
      </c>
      <c r="B96" t="n">
        <v>669586.08</v>
      </c>
      <c r="C96" t="n">
        <v>0</v>
      </c>
      <c r="D96" t="n">
        <v>522196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M96" t="n">
        <v>1</v>
      </c>
    </row>
    <row r="97">
      <c r="A97" t="inlineStr">
        <is>
          <t>COUNTRY ARCHER</t>
        </is>
      </c>
      <c r="B97" t="n">
        <v>7011.65</v>
      </c>
      <c r="C97" t="n">
        <v>0</v>
      </c>
      <c r="D97" t="n">
        <v>683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M97" t="n">
        <v>1</v>
      </c>
    </row>
    <row r="98">
      <c r="A98" t="inlineStr">
        <is>
          <t>COUNTRY CROCK</t>
        </is>
      </c>
      <c r="B98" t="n">
        <v>0</v>
      </c>
      <c r="C98" t="n">
        <v>4.109999939000001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M98" t="n">
        <v>1</v>
      </c>
    </row>
    <row r="99">
      <c r="A99" t="inlineStr">
        <is>
          <t>CPG UNMEAT</t>
        </is>
      </c>
      <c r="B99" t="n">
        <v>1599889.95</v>
      </c>
      <c r="C99" t="n">
        <v>137288.899837123</v>
      </c>
      <c r="D99" t="n">
        <v>485183</v>
      </c>
      <c r="E99" t="n">
        <v>0</v>
      </c>
      <c r="F99" t="n">
        <v>0</v>
      </c>
      <c r="G99" t="n">
        <v>0</v>
      </c>
      <c r="H99" t="n">
        <v>0</v>
      </c>
      <c r="I99" t="n">
        <v>0.7</v>
      </c>
      <c r="M99" t="n">
        <v>0</v>
      </c>
    </row>
    <row r="100">
      <c r="A100" t="inlineStr">
        <is>
          <t>CREAMETTE</t>
        </is>
      </c>
      <c r="B100" t="n">
        <v>139206.78</v>
      </c>
      <c r="C100" t="n">
        <v>7899.815782522999</v>
      </c>
      <c r="D100" t="n">
        <v>93987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M100" t="n">
        <v>0</v>
      </c>
    </row>
    <row r="101">
      <c r="A101" t="inlineStr">
        <is>
          <t>CROSSE &amp; BLACKWELL</t>
        </is>
      </c>
      <c r="B101" t="n">
        <v>1078.64</v>
      </c>
      <c r="C101" t="n">
        <v>0</v>
      </c>
      <c r="D101" t="n">
        <v>194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M101" t="n">
        <v>1</v>
      </c>
    </row>
    <row r="102">
      <c r="A102" t="inlineStr">
        <is>
          <t>CROWN</t>
        </is>
      </c>
      <c r="B102" t="n">
        <v>85503.04000000001</v>
      </c>
      <c r="C102" t="n">
        <v>0</v>
      </c>
      <c r="D102" t="n">
        <v>9589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M102" t="n">
        <v>1</v>
      </c>
    </row>
    <row r="103">
      <c r="A103" t="inlineStr">
        <is>
          <t>CROWN PRINCE</t>
        </is>
      </c>
      <c r="B103" t="n">
        <v>14781190.682</v>
      </c>
      <c r="C103" t="n">
        <v>10503.290211008</v>
      </c>
      <c r="D103" t="n">
        <v>7226751</v>
      </c>
      <c r="E103" t="n">
        <v>0</v>
      </c>
      <c r="F103" t="n">
        <v>0</v>
      </c>
      <c r="G103" t="n">
        <v>0.3</v>
      </c>
      <c r="H103" t="n">
        <v>0.3</v>
      </c>
      <c r="I103" t="n">
        <v>0.1</v>
      </c>
      <c r="M103" t="n">
        <v>0</v>
      </c>
    </row>
    <row r="104">
      <c r="A104" t="inlineStr">
        <is>
          <t>CROWN PRINCE NATURAL</t>
        </is>
      </c>
      <c r="B104" t="n">
        <v>45733.980000003</v>
      </c>
      <c r="C104" t="n">
        <v>0</v>
      </c>
      <c r="D104" t="n">
        <v>10552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M104" t="n">
        <v>1</v>
      </c>
    </row>
    <row r="105">
      <c r="A105" t="inlineStr">
        <is>
          <t>CUCINA &amp; AMORE</t>
        </is>
      </c>
      <c r="B105" t="n">
        <v>3238.06</v>
      </c>
      <c r="C105" t="n">
        <v>0</v>
      </c>
      <c r="D105" t="n">
        <v>111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M105" t="n">
        <v>1</v>
      </c>
    </row>
    <row r="106">
      <c r="A106" t="inlineStr">
        <is>
          <t>CUGINO'S</t>
        </is>
      </c>
      <c r="B106" t="n">
        <v>0</v>
      </c>
      <c r="C106" t="n">
        <v>1501.450002349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M106" t="n">
        <v>1</v>
      </c>
    </row>
    <row r="107">
      <c r="A107" t="inlineStr">
        <is>
          <t>CUSTARD STAND</t>
        </is>
      </c>
      <c r="B107" t="n">
        <v>34079.45</v>
      </c>
      <c r="C107" t="n">
        <v>0</v>
      </c>
      <c r="D107" t="n">
        <v>5829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M107" t="n">
        <v>1</v>
      </c>
    </row>
    <row r="108">
      <c r="A108" t="inlineStr">
        <is>
          <t>DAILY CHEF</t>
        </is>
      </c>
      <c r="B108" t="n">
        <v>76.97</v>
      </c>
      <c r="C108" t="n">
        <v>0</v>
      </c>
      <c r="D108" t="n">
        <v>7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M108" t="n">
        <v>1</v>
      </c>
    </row>
    <row r="109">
      <c r="A109" t="inlineStr">
        <is>
          <t>DAIYA</t>
        </is>
      </c>
      <c r="B109" t="n">
        <v>609191.9400000001</v>
      </c>
      <c r="C109" t="n">
        <v>41078.260421307</v>
      </c>
      <c r="D109" t="n">
        <v>190486</v>
      </c>
      <c r="E109" t="n">
        <v>0</v>
      </c>
      <c r="F109" t="n">
        <v>0</v>
      </c>
      <c r="G109" t="n">
        <v>0</v>
      </c>
      <c r="H109" t="n">
        <v>0</v>
      </c>
      <c r="I109" t="n">
        <v>0.2</v>
      </c>
      <c r="M109" t="n">
        <v>0</v>
      </c>
    </row>
    <row r="110">
      <c r="A110" t="inlineStr">
        <is>
          <t>DAK</t>
        </is>
      </c>
      <c r="B110" t="n">
        <v>322223.01</v>
      </c>
      <c r="C110" t="n">
        <v>0</v>
      </c>
      <c r="D110" t="n">
        <v>126726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M110" t="n">
        <v>1</v>
      </c>
    </row>
    <row r="111">
      <c r="A111" t="inlineStr">
        <is>
          <t>DAUFUSKI BRAND</t>
        </is>
      </c>
      <c r="B111" t="n">
        <v>117.37</v>
      </c>
      <c r="C111" t="n">
        <v>0</v>
      </c>
      <c r="D111" t="n">
        <v>69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M111" t="n">
        <v>1</v>
      </c>
    </row>
    <row r="112">
      <c r="A112" t="inlineStr">
        <is>
          <t>DEL MONTE</t>
        </is>
      </c>
      <c r="B112" t="n">
        <v>0</v>
      </c>
      <c r="C112" t="n">
        <v>185.210987504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M112" t="n">
        <v>1</v>
      </c>
    </row>
    <row r="113">
      <c r="A113" t="inlineStr">
        <is>
          <t>DEL REAL FOODS</t>
        </is>
      </c>
      <c r="B113" t="n">
        <v>0</v>
      </c>
      <c r="C113" t="n">
        <v>13836.671482939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0.1</v>
      </c>
      <c r="M113" t="n">
        <v>1</v>
      </c>
    </row>
    <row r="114">
      <c r="A114" t="inlineStr">
        <is>
          <t>DELALLO</t>
        </is>
      </c>
      <c r="B114" t="n">
        <v>62298.08</v>
      </c>
      <c r="C114" t="n">
        <v>0</v>
      </c>
      <c r="D114" t="n">
        <v>31410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M114" t="n">
        <v>1</v>
      </c>
    </row>
    <row r="115">
      <c r="A115" t="inlineStr">
        <is>
          <t>DELAMARIS</t>
        </is>
      </c>
      <c r="B115" t="n">
        <v>16.72</v>
      </c>
      <c r="C115" t="n">
        <v>0</v>
      </c>
      <c r="D115" t="n">
        <v>4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M115" t="n">
        <v>1</v>
      </c>
    </row>
    <row r="116">
      <c r="A116" t="inlineStr">
        <is>
          <t>DELAMARIS IZOLA</t>
        </is>
      </c>
      <c r="B116" t="n">
        <v>13.09</v>
      </c>
      <c r="C116" t="n">
        <v>0</v>
      </c>
      <c r="D116" t="n">
        <v>7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M116" t="n">
        <v>1</v>
      </c>
    </row>
    <row r="117">
      <c r="A117" t="inlineStr">
        <is>
          <t>DELCA</t>
        </is>
      </c>
      <c r="B117" t="n">
        <v>17.48</v>
      </c>
      <c r="C117" t="n">
        <v>0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M117" t="n">
        <v>1</v>
      </c>
    </row>
    <row r="118">
      <c r="A118" t="inlineStr">
        <is>
          <t>DELGROSSO</t>
        </is>
      </c>
      <c r="B118" t="n">
        <v>0</v>
      </c>
      <c r="C118" t="n">
        <v>13805.679828205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0.1</v>
      </c>
      <c r="M118" t="n">
        <v>1</v>
      </c>
    </row>
    <row r="119">
      <c r="A119" t="inlineStr">
        <is>
          <t>DELL'ALPE</t>
        </is>
      </c>
      <c r="B119" t="n">
        <v>1111.14</v>
      </c>
      <c r="C119" t="n">
        <v>0</v>
      </c>
      <c r="D119" t="n">
        <v>37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M119" t="n">
        <v>1</v>
      </c>
    </row>
    <row r="120">
      <c r="A120" t="inlineStr">
        <is>
          <t>DEMING'S</t>
        </is>
      </c>
      <c r="B120" t="n">
        <v>11127273.67770833</v>
      </c>
      <c r="C120" t="n">
        <v>0</v>
      </c>
      <c r="D120" t="n">
        <v>1798131</v>
      </c>
      <c r="E120" t="n">
        <v>1</v>
      </c>
      <c r="F120" t="n">
        <v>0</v>
      </c>
      <c r="G120" t="n">
        <v>0.2</v>
      </c>
      <c r="H120" t="n">
        <v>0.1</v>
      </c>
      <c r="I120" t="n">
        <v>0</v>
      </c>
      <c r="M120" t="n">
        <v>1</v>
      </c>
    </row>
    <row r="121">
      <c r="A121" t="inlineStr">
        <is>
          <t>DENNISON'S</t>
        </is>
      </c>
      <c r="B121" t="n">
        <v>11560470.665</v>
      </c>
      <c r="C121" t="n">
        <v>0</v>
      </c>
      <c r="D121" t="n">
        <v>5615719</v>
      </c>
      <c r="E121" t="n">
        <v>1</v>
      </c>
      <c r="F121" t="n">
        <v>0</v>
      </c>
      <c r="G121" t="n">
        <v>0.2</v>
      </c>
      <c r="H121" t="n">
        <v>0.2</v>
      </c>
      <c r="I121" t="n">
        <v>0</v>
      </c>
      <c r="M121" t="n">
        <v>1</v>
      </c>
    </row>
    <row r="122">
      <c r="A122" t="inlineStr">
        <is>
          <t>DERBY</t>
        </is>
      </c>
      <c r="B122" t="n">
        <v>1167002.48</v>
      </c>
      <c r="C122" t="n">
        <v>0</v>
      </c>
      <c r="D122" t="n">
        <v>476699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M122" t="n">
        <v>1</v>
      </c>
    </row>
    <row r="123">
      <c r="A123" t="inlineStr">
        <is>
          <t>DICKINSON'S</t>
        </is>
      </c>
      <c r="B123" t="n">
        <v>2.24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M123" t="n">
        <v>1</v>
      </c>
    </row>
    <row r="124">
      <c r="A124" t="inlineStr">
        <is>
          <t>DINTY MOORE</t>
        </is>
      </c>
      <c r="B124" t="n">
        <v>560869.14</v>
      </c>
      <c r="C124" t="n">
        <v>4979.516973926</v>
      </c>
      <c r="D124" t="n">
        <v>51399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M124" t="n">
        <v>0</v>
      </c>
    </row>
    <row r="125">
      <c r="A125" t="inlineStr">
        <is>
          <t>DIVINA</t>
        </is>
      </c>
      <c r="B125" t="n">
        <v>12459.76</v>
      </c>
      <c r="C125" t="n">
        <v>0</v>
      </c>
      <c r="D125" t="n">
        <v>293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M125" t="n">
        <v>1</v>
      </c>
    </row>
    <row r="126">
      <c r="A126" t="inlineStr">
        <is>
          <t>DIXIE CHILI &amp; DELI</t>
        </is>
      </c>
      <c r="B126" t="n">
        <v>318472.86</v>
      </c>
      <c r="C126" t="n">
        <v>0</v>
      </c>
      <c r="D126" t="n">
        <v>77098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M126" t="n">
        <v>1</v>
      </c>
    </row>
    <row r="127">
      <c r="A127" t="inlineStr">
        <is>
          <t>DOA MARA</t>
        </is>
      </c>
      <c r="B127" t="n">
        <v>26.46</v>
      </c>
      <c r="C127" t="n">
        <v>0</v>
      </c>
      <c r="D127" t="n">
        <v>19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M127" t="n">
        <v>1</v>
      </c>
    </row>
    <row r="128">
      <c r="A128" t="inlineStr">
        <is>
          <t>DOBROVA</t>
        </is>
      </c>
      <c r="B128" t="n">
        <v>10440.25</v>
      </c>
      <c r="C128" t="n">
        <v>0</v>
      </c>
      <c r="D128" t="n">
        <v>2532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M128" t="n">
        <v>1</v>
      </c>
    </row>
    <row r="129">
      <c r="A129" t="inlineStr">
        <is>
          <t>DOLORES</t>
        </is>
      </c>
      <c r="B129" t="n">
        <v>43350.15</v>
      </c>
      <c r="C129" t="n">
        <v>36.30000026599999</v>
      </c>
      <c r="D129" t="n">
        <v>25209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M129" t="n">
        <v>0</v>
      </c>
    </row>
    <row r="130">
      <c r="A130" t="inlineStr">
        <is>
          <t>DONGWON</t>
        </is>
      </c>
      <c r="B130" t="n">
        <v>6.54</v>
      </c>
      <c r="C130" t="n">
        <v>0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M130" t="n">
        <v>1</v>
      </c>
    </row>
    <row r="131">
      <c r="A131" t="inlineStr">
        <is>
          <t>DOUBLE "Q"</t>
        </is>
      </c>
      <c r="B131" t="n">
        <v>24527552.87483339</v>
      </c>
      <c r="C131" t="n">
        <v>0</v>
      </c>
      <c r="D131" t="n">
        <v>6207340</v>
      </c>
      <c r="E131" t="n">
        <v>1</v>
      </c>
      <c r="F131" t="n">
        <v>0</v>
      </c>
      <c r="G131" t="n">
        <v>0.5</v>
      </c>
      <c r="H131" t="n">
        <v>0.3</v>
      </c>
      <c r="I131" t="n">
        <v>0</v>
      </c>
      <c r="M131" t="n">
        <v>1</v>
      </c>
    </row>
    <row r="132">
      <c r="A132" t="inlineStr">
        <is>
          <t>DO��A MAR��A</t>
        </is>
      </c>
      <c r="B132" t="n">
        <v>114.48</v>
      </c>
      <c r="C132" t="n">
        <v>0</v>
      </c>
      <c r="D132" t="n">
        <v>18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M132" t="n">
        <v>1</v>
      </c>
    </row>
    <row r="133">
      <c r="A133" t="inlineStr">
        <is>
          <t>DR. MCDOUGALL'S RIGHT FOODS</t>
        </is>
      </c>
      <c r="B133" t="n">
        <v>816.3</v>
      </c>
      <c r="C133" t="n">
        <v>0</v>
      </c>
      <c r="D133" t="n">
        <v>43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M133" t="n">
        <v>1</v>
      </c>
    </row>
    <row r="134">
      <c r="A134" t="inlineStr">
        <is>
          <t>EAGLE 20'S</t>
        </is>
      </c>
      <c r="B134" t="n">
        <v>106.8</v>
      </c>
      <c r="C134" t="n">
        <v>0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M134" t="n">
        <v>1</v>
      </c>
    </row>
    <row r="135">
      <c r="A135" t="inlineStr">
        <is>
          <t>EARTH BOUND</t>
        </is>
      </c>
      <c r="B135" t="n">
        <v>77216.8</v>
      </c>
      <c r="C135" t="n">
        <v>6212.120039197</v>
      </c>
      <c r="D135" t="n">
        <v>13042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M135" t="n">
        <v>0</v>
      </c>
    </row>
    <row r="136">
      <c r="A136" t="inlineStr">
        <is>
          <t>EAST POINT</t>
        </is>
      </c>
      <c r="B136" t="n">
        <v>-13.44</v>
      </c>
      <c r="C136" t="n">
        <v>0</v>
      </c>
      <c r="D136" t="n">
        <v>-3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M136" t="n">
        <v>1</v>
      </c>
    </row>
    <row r="137">
      <c r="A137" t="inlineStr">
        <is>
          <t>ECKRICH</t>
        </is>
      </c>
      <c r="B137" t="n">
        <v>0</v>
      </c>
      <c r="C137" t="n">
        <v>20034.388301488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0.1</v>
      </c>
      <c r="M137" t="n">
        <v>1</v>
      </c>
    </row>
    <row r="138">
      <c r="A138" t="inlineStr">
        <is>
          <t>EL EBRO</t>
        </is>
      </c>
      <c r="B138" t="n">
        <v>168677.66</v>
      </c>
      <c r="C138" t="n">
        <v>0</v>
      </c>
      <c r="D138" t="n">
        <v>58511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M138" t="n">
        <v>1</v>
      </c>
    </row>
    <row r="139">
      <c r="A139" t="inlineStr">
        <is>
          <t>EL MEXICANO</t>
        </is>
      </c>
      <c r="B139" t="n">
        <v>1.48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M139" t="n">
        <v>1</v>
      </c>
    </row>
    <row r="140">
      <c r="A140" t="inlineStr">
        <is>
          <t>EL VIEJO LUIS</t>
        </is>
      </c>
      <c r="B140" t="n">
        <v>123.88</v>
      </c>
      <c r="C140" t="n">
        <v>0</v>
      </c>
      <c r="D140" t="n">
        <v>44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M140" t="n">
        <v>1</v>
      </c>
    </row>
    <row r="141">
      <c r="A141" t="inlineStr">
        <is>
          <t>ENJOY</t>
        </is>
      </c>
      <c r="B141" t="n">
        <v>30508.88</v>
      </c>
      <c r="C141" t="n">
        <v>0</v>
      </c>
      <c r="D141" t="n">
        <v>3834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M141" t="n">
        <v>1</v>
      </c>
    </row>
    <row r="142">
      <c r="A142" t="inlineStr">
        <is>
          <t>ESCAL</t>
        </is>
      </c>
      <c r="B142" t="n">
        <v>61.96</v>
      </c>
      <c r="C142" t="n">
        <v>0</v>
      </c>
      <c r="D142" t="n">
        <v>4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M142" t="n">
        <v>1</v>
      </c>
    </row>
    <row r="143">
      <c r="A143" t="inlineStr">
        <is>
          <t>EVA</t>
        </is>
      </c>
      <c r="B143" t="n">
        <v>435.51</v>
      </c>
      <c r="C143" t="n">
        <v>0</v>
      </c>
      <c r="D143" t="n">
        <v>153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M143" t="n">
        <v>1</v>
      </c>
    </row>
    <row r="144">
      <c r="A144" t="inlineStr">
        <is>
          <t>EVEBA</t>
        </is>
      </c>
      <c r="B144" t="n">
        <v>152.72</v>
      </c>
      <c r="C144" t="n">
        <v>0</v>
      </c>
      <c r="D144" t="n">
        <v>46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M144" t="n">
        <v>1</v>
      </c>
    </row>
    <row r="145">
      <c r="A145" t="inlineStr">
        <is>
          <t>FARMHOUSE</t>
        </is>
      </c>
      <c r="B145" t="n">
        <v>-2.24</v>
      </c>
      <c r="C145" t="n">
        <v>0</v>
      </c>
      <c r="D145" t="n">
        <v>-2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M145" t="n">
        <v>1</v>
      </c>
    </row>
    <row r="146">
      <c r="A146" t="inlineStr">
        <is>
          <t>FILLO'S</t>
        </is>
      </c>
      <c r="B146" t="n">
        <v>1426497.91</v>
      </c>
      <c r="C146" t="n">
        <v>40000.86985531102</v>
      </c>
      <c r="D146" t="n">
        <v>699713</v>
      </c>
      <c r="E146" t="n">
        <v>0</v>
      </c>
      <c r="F146" t="n">
        <v>0</v>
      </c>
      <c r="G146" t="n">
        <v>0</v>
      </c>
      <c r="H146" t="n">
        <v>0</v>
      </c>
      <c r="I146" t="n">
        <v>0.2</v>
      </c>
      <c r="M146" t="n">
        <v>0</v>
      </c>
    </row>
    <row r="147">
      <c r="A147" t="inlineStr">
        <is>
          <t>FINOLA</t>
        </is>
      </c>
      <c r="B147" t="n">
        <v>19921.05</v>
      </c>
      <c r="C147" t="n">
        <v>0</v>
      </c>
      <c r="D147" t="n">
        <v>12272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M147" t="n">
        <v>1</v>
      </c>
    </row>
    <row r="148">
      <c r="A148" t="inlineStr">
        <is>
          <t>FIORELLA'S JACK STACK BARBECUE</t>
        </is>
      </c>
      <c r="B148" t="n">
        <v>104331.92</v>
      </c>
      <c r="C148" t="n">
        <v>1428.630009888</v>
      </c>
      <c r="D148" t="n">
        <v>13922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M148" t="n">
        <v>0</v>
      </c>
    </row>
    <row r="149">
      <c r="A149" t="inlineStr">
        <is>
          <t>FISH</t>
        </is>
      </c>
      <c r="B149" t="n">
        <v>26.52</v>
      </c>
      <c r="C149" t="n">
        <v>0</v>
      </c>
      <c r="D149" t="n">
        <v>3.02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M149" t="n">
        <v>1</v>
      </c>
    </row>
    <row r="150">
      <c r="A150" t="inlineStr">
        <is>
          <t>FLUKER'S</t>
        </is>
      </c>
      <c r="B150" t="n">
        <v>1264.15</v>
      </c>
      <c r="C150" t="n">
        <v>0</v>
      </c>
      <c r="D150" t="n">
        <v>291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M150" t="n">
        <v>1</v>
      </c>
    </row>
    <row r="151">
      <c r="A151" t="inlineStr">
        <is>
          <t>FOOD MERCHANT</t>
        </is>
      </c>
      <c r="B151" t="n">
        <v>51.32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M151" t="n">
        <v>1</v>
      </c>
    </row>
    <row r="152">
      <c r="A152" t="inlineStr">
        <is>
          <t>FOOD NETWORK</t>
        </is>
      </c>
      <c r="B152" t="n">
        <v>1.26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M152" t="n">
        <v>1</v>
      </c>
    </row>
    <row r="153">
      <c r="A153" t="inlineStr">
        <is>
          <t>FOOD NETWORK KITCHEN INSPIRATIONS</t>
        </is>
      </c>
      <c r="B153" t="n">
        <v>4.03</v>
      </c>
      <c r="C153" t="n">
        <v>0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M153" t="n">
        <v>1</v>
      </c>
    </row>
    <row r="154">
      <c r="A154" t="inlineStr">
        <is>
          <t>FORUNEED</t>
        </is>
      </c>
      <c r="B154" t="n">
        <v>0</v>
      </c>
      <c r="C154" t="n">
        <v>25.664444566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M154" t="n">
        <v>1</v>
      </c>
    </row>
    <row r="155">
      <c r="A155" t="inlineStr">
        <is>
          <t>FOSTER FARMS</t>
        </is>
      </c>
      <c r="B155" t="n">
        <v>2112170.31</v>
      </c>
      <c r="C155" t="n">
        <v>0</v>
      </c>
      <c r="D155" t="n">
        <v>458220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M155" t="n">
        <v>1</v>
      </c>
    </row>
    <row r="156">
      <c r="A156" t="inlineStr">
        <is>
          <t>FRENCH'S</t>
        </is>
      </c>
      <c r="B156" t="n">
        <v>6.5</v>
      </c>
      <c r="C156" t="n">
        <v>0</v>
      </c>
      <c r="D156" t="n">
        <v>7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M156" t="n">
        <v>1</v>
      </c>
    </row>
    <row r="157">
      <c r="A157" t="inlineStr">
        <is>
          <t>FRESHE</t>
        </is>
      </c>
      <c r="B157" t="n">
        <v>641570.53</v>
      </c>
      <c r="C157" t="n">
        <v>31784.160429792</v>
      </c>
      <c r="D157" t="n">
        <v>176491</v>
      </c>
      <c r="E157" t="n">
        <v>0</v>
      </c>
      <c r="F157" t="n">
        <v>0</v>
      </c>
      <c r="G157" t="n">
        <v>0</v>
      </c>
      <c r="H157" t="n">
        <v>0</v>
      </c>
      <c r="I157" t="n">
        <v>0.2</v>
      </c>
      <c r="M157" t="n">
        <v>0</v>
      </c>
    </row>
    <row r="158">
      <c r="A158" t="inlineStr">
        <is>
          <t>FRESHNESS GUARANTEED</t>
        </is>
      </c>
      <c r="B158" t="n">
        <v>46564.58</v>
      </c>
      <c r="C158" t="n">
        <v>0</v>
      </c>
      <c r="D158" t="n">
        <v>8606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M158" t="n">
        <v>1</v>
      </c>
    </row>
    <row r="159">
      <c r="A159" t="inlineStr">
        <is>
          <t>FRUITIQUE</t>
        </is>
      </c>
      <c r="B159" t="n">
        <v>87015.2</v>
      </c>
      <c r="C159" t="n">
        <v>0</v>
      </c>
      <c r="D159" t="n">
        <v>51186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M159" t="n">
        <v>1</v>
      </c>
    </row>
    <row r="160">
      <c r="A160" t="inlineStr">
        <is>
          <t>GALIL</t>
        </is>
      </c>
      <c r="B160" t="n">
        <v>12.7</v>
      </c>
      <c r="C160" t="n">
        <v>0</v>
      </c>
      <c r="D160" t="n">
        <v>5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M160" t="n">
        <v>1</v>
      </c>
    </row>
    <row r="161">
      <c r="A161" t="inlineStr">
        <is>
          <t>GARDEIN</t>
        </is>
      </c>
      <c r="B161" t="n">
        <v>196380.230000003</v>
      </c>
      <c r="C161" t="n">
        <v>0</v>
      </c>
      <c r="D161" t="n">
        <v>68317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M161" t="n">
        <v>1</v>
      </c>
    </row>
    <row r="162">
      <c r="A162" t="inlineStr">
        <is>
          <t>GAUCHO RANCH</t>
        </is>
      </c>
      <c r="B162" t="n">
        <v>308.76</v>
      </c>
      <c r="C162" t="n">
        <v>0</v>
      </c>
      <c r="D162" t="n">
        <v>62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M162" t="n">
        <v>1</v>
      </c>
    </row>
    <row r="163">
      <c r="A163" t="inlineStr">
        <is>
          <t>GEISHA</t>
        </is>
      </c>
      <c r="B163" t="n">
        <v>18532524.325</v>
      </c>
      <c r="C163" t="n">
        <v>0</v>
      </c>
      <c r="D163" t="n">
        <v>7525989</v>
      </c>
      <c r="E163" t="n">
        <v>1</v>
      </c>
      <c r="F163" t="n">
        <v>0</v>
      </c>
      <c r="G163" t="n">
        <v>0.4</v>
      </c>
      <c r="H163" t="n">
        <v>0.3</v>
      </c>
      <c r="I163" t="n">
        <v>0</v>
      </c>
      <c r="M163" t="n">
        <v>1</v>
      </c>
    </row>
    <row r="164">
      <c r="A164" t="inlineStr">
        <is>
          <t>GENERIC</t>
        </is>
      </c>
      <c r="B164" t="n">
        <v>4315745.85</v>
      </c>
      <c r="C164" t="n">
        <v>0</v>
      </c>
      <c r="D164" t="n">
        <v>2245683</v>
      </c>
      <c r="E164" t="n">
        <v>1</v>
      </c>
      <c r="F164" t="n">
        <v>0</v>
      </c>
      <c r="G164" t="n">
        <v>0.1</v>
      </c>
      <c r="H164" t="n">
        <v>0.1</v>
      </c>
      <c r="I164" t="n">
        <v>0</v>
      </c>
      <c r="K164" t="n">
        <v>1</v>
      </c>
      <c r="M164" t="n">
        <v>1</v>
      </c>
    </row>
    <row r="165">
      <c r="A165" t="inlineStr">
        <is>
          <t>GENOVA</t>
        </is>
      </c>
      <c r="B165" t="n">
        <v>20013143.56775</v>
      </c>
      <c r="C165" t="n">
        <v>88536.56019711701</v>
      </c>
      <c r="D165" t="n">
        <v>7058399</v>
      </c>
      <c r="E165" t="n">
        <v>0</v>
      </c>
      <c r="F165" t="n">
        <v>0</v>
      </c>
      <c r="G165" t="n">
        <v>0.4</v>
      </c>
      <c r="H165" t="n">
        <v>0.3</v>
      </c>
      <c r="I165" t="n">
        <v>0.5</v>
      </c>
      <c r="M165" t="n">
        <v>0</v>
      </c>
    </row>
    <row r="166">
      <c r="A166" t="inlineStr">
        <is>
          <t>GENOVA PRODUCTS</t>
        </is>
      </c>
      <c r="B166" t="n">
        <v>0</v>
      </c>
      <c r="C166" t="n">
        <v>84493.639847937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0.5</v>
      </c>
      <c r="M166" t="n">
        <v>1</v>
      </c>
    </row>
    <row r="167">
      <c r="A167" t="inlineStr">
        <is>
          <t>GIA RUSSA</t>
        </is>
      </c>
      <c r="B167" t="n">
        <v>43721.02</v>
      </c>
      <c r="C167" t="n">
        <v>0</v>
      </c>
      <c r="D167" t="n">
        <v>1264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M167" t="n">
        <v>1</v>
      </c>
    </row>
    <row r="168">
      <c r="A168" t="inlineStr">
        <is>
          <t>GIOVANNI</t>
        </is>
      </c>
      <c r="B168" t="n">
        <v>34096.9</v>
      </c>
      <c r="C168" t="n">
        <v>0</v>
      </c>
      <c r="D168" t="n">
        <v>15907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M168" t="n">
        <v>1</v>
      </c>
    </row>
    <row r="169">
      <c r="A169" t="inlineStr">
        <is>
          <t>GIOVANNI FOODS</t>
        </is>
      </c>
      <c r="B169" t="n">
        <v>324635.29</v>
      </c>
      <c r="C169" t="n">
        <v>0</v>
      </c>
      <c r="D169" t="n">
        <v>153465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M169" t="n">
        <v>1</v>
      </c>
    </row>
    <row r="170">
      <c r="A170" t="inlineStr">
        <is>
          <t>GIOVANNI RANA</t>
        </is>
      </c>
      <c r="B170" t="n">
        <v>0</v>
      </c>
      <c r="C170" t="n">
        <v>2782.802091939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M170" t="n">
        <v>1</v>
      </c>
    </row>
    <row r="171">
      <c r="A171" t="inlineStr">
        <is>
          <t>GOLD STAR CHILI</t>
        </is>
      </c>
      <c r="B171" t="n">
        <v>1446759.38</v>
      </c>
      <c r="C171" t="n">
        <v>0</v>
      </c>
      <c r="D171" t="n">
        <v>316299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M171" t="n">
        <v>1</v>
      </c>
    </row>
    <row r="172">
      <c r="A172" t="inlineStr">
        <is>
          <t>GOODLES</t>
        </is>
      </c>
      <c r="B172" t="n">
        <v>7576044.800000001</v>
      </c>
      <c r="C172" t="n">
        <v>72659.11042086</v>
      </c>
      <c r="D172" t="n">
        <v>2461656</v>
      </c>
      <c r="E172" t="n">
        <v>0</v>
      </c>
      <c r="F172" t="n">
        <v>0</v>
      </c>
      <c r="G172" t="n">
        <v>0.1</v>
      </c>
      <c r="H172" t="n">
        <v>0.1</v>
      </c>
      <c r="I172" t="n">
        <v>0.4</v>
      </c>
      <c r="M172" t="n">
        <v>0</v>
      </c>
    </row>
    <row r="173">
      <c r="A173" t="inlineStr">
        <is>
          <t>GOYA</t>
        </is>
      </c>
      <c r="B173" t="n">
        <v>2165328.1</v>
      </c>
      <c r="C173" t="n">
        <v>176.579999784</v>
      </c>
      <c r="D173" t="n">
        <v>983317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M173" t="n">
        <v>0</v>
      </c>
    </row>
    <row r="174">
      <c r="A174" t="inlineStr">
        <is>
          <t>GRABILL COUNTRY MEATS</t>
        </is>
      </c>
      <c r="B174" t="n">
        <v>4448164.69</v>
      </c>
      <c r="C174" t="n">
        <v>0</v>
      </c>
      <c r="D174" t="n">
        <v>484446</v>
      </c>
      <c r="E174" t="n">
        <v>1</v>
      </c>
      <c r="F174" t="n">
        <v>0</v>
      </c>
      <c r="G174" t="n">
        <v>0.1</v>
      </c>
      <c r="H174" t="n">
        <v>0</v>
      </c>
      <c r="I174" t="n">
        <v>0</v>
      </c>
      <c r="M174" t="n">
        <v>1</v>
      </c>
    </row>
    <row r="175">
      <c r="A175" t="inlineStr">
        <is>
          <t>GRACE</t>
        </is>
      </c>
      <c r="B175" t="n">
        <v>109387.19</v>
      </c>
      <c r="C175" t="n">
        <v>327.599998586</v>
      </c>
      <c r="D175" t="n">
        <v>78623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L175" t="n">
        <v>1</v>
      </c>
      <c r="M175" t="n">
        <v>0</v>
      </c>
    </row>
    <row r="176">
      <c r="A176" t="inlineStr">
        <is>
          <t>GRACE FOODS</t>
        </is>
      </c>
      <c r="B176" t="n">
        <v>74870.95</v>
      </c>
      <c r="C176" t="n">
        <v>0.7599999909999999</v>
      </c>
      <c r="D176" t="n">
        <v>26479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L176" t="n">
        <v>1</v>
      </c>
      <c r="M176" t="n">
        <v>0</v>
      </c>
    </row>
    <row r="177">
      <c r="A177" t="inlineStr">
        <is>
          <t>GRACE'S HOMESTYLE</t>
        </is>
      </c>
      <c r="B177" t="n">
        <v>22626.42</v>
      </c>
      <c r="C177" t="n">
        <v>0</v>
      </c>
      <c r="D177" t="n">
        <v>14570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M177" t="n">
        <v>1</v>
      </c>
    </row>
    <row r="178">
      <c r="A178" t="inlineStr">
        <is>
          <t>GREAT VALUE</t>
        </is>
      </c>
      <c r="B178" t="n">
        <v>1321285901.279643</v>
      </c>
      <c r="C178" t="n">
        <v>11898.187124233</v>
      </c>
      <c r="D178" t="n">
        <v>652732513.8</v>
      </c>
      <c r="E178" t="n">
        <v>1</v>
      </c>
      <c r="F178" t="n">
        <v>0</v>
      </c>
      <c r="G178" t="n">
        <v>25.2</v>
      </c>
      <c r="H178" t="n">
        <v>28.4</v>
      </c>
      <c r="I178" t="n">
        <v>0.1</v>
      </c>
      <c r="J178" t="n">
        <v>1</v>
      </c>
      <c r="M178" t="n">
        <v>1</v>
      </c>
    </row>
    <row r="179">
      <c r="A179" t="inlineStr">
        <is>
          <t>GREEN GIANT</t>
        </is>
      </c>
      <c r="B179" t="n">
        <v>17792.34</v>
      </c>
      <c r="C179" t="n">
        <v>0</v>
      </c>
      <c r="D179" t="n">
        <v>4194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M179" t="n">
        <v>1</v>
      </c>
    </row>
    <row r="180">
      <c r="A180" t="inlineStr">
        <is>
          <t>GREEN HEIGHTS</t>
        </is>
      </c>
      <c r="B180" t="n">
        <v>260.36</v>
      </c>
      <c r="C180" t="n">
        <v>0</v>
      </c>
      <c r="D180" t="n">
        <v>23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M180" t="n">
        <v>1</v>
      </c>
    </row>
    <row r="181">
      <c r="A181" t="inlineStr">
        <is>
          <t>GRILLED CATCH</t>
        </is>
      </c>
      <c r="B181" t="n">
        <v>2.96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M181" t="n">
        <v>1</v>
      </c>
    </row>
    <row r="182">
      <c r="A182" t="inlineStr">
        <is>
          <t>HALM'S ENTERPRISES</t>
        </is>
      </c>
      <c r="B182" t="n">
        <v>392.7</v>
      </c>
      <c r="C182" t="n">
        <v>0</v>
      </c>
      <c r="D182" t="n">
        <v>105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M182" t="n">
        <v>1</v>
      </c>
    </row>
    <row r="183">
      <c r="A183" t="inlineStr">
        <is>
          <t>HEAD COUNTRY BAR-B-Q</t>
        </is>
      </c>
      <c r="B183" t="n">
        <v>29233.73</v>
      </c>
      <c r="C183" t="n">
        <v>0</v>
      </c>
      <c r="D183" t="n">
        <v>8584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M183" t="n">
        <v>1</v>
      </c>
    </row>
    <row r="184">
      <c r="A184" t="inlineStr">
        <is>
          <t>HENRY &amp; LISA'S NATURAL SEAFOOD</t>
        </is>
      </c>
      <c r="B184" t="n">
        <v>1476</v>
      </c>
      <c r="C184" t="n">
        <v>0</v>
      </c>
      <c r="D184" t="n">
        <v>22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M184" t="n">
        <v>1</v>
      </c>
    </row>
    <row r="185">
      <c r="A185" t="inlineStr">
        <is>
          <t>HEREFORD</t>
        </is>
      </c>
      <c r="B185" t="n">
        <v>9409156.635</v>
      </c>
      <c r="C185" t="n">
        <v>298529.463183409</v>
      </c>
      <c r="D185" t="n">
        <v>2244071</v>
      </c>
      <c r="E185" t="n">
        <v>0</v>
      </c>
      <c r="F185" t="n">
        <v>0</v>
      </c>
      <c r="G185" t="n">
        <v>0.2</v>
      </c>
      <c r="H185" t="n">
        <v>0.1</v>
      </c>
      <c r="I185" t="n">
        <v>1.6</v>
      </c>
      <c r="M185" t="n">
        <v>0</v>
      </c>
    </row>
    <row r="186">
      <c r="A186" t="inlineStr">
        <is>
          <t>HERON POINT</t>
        </is>
      </c>
      <c r="B186" t="n">
        <v>-9.449999999999999</v>
      </c>
      <c r="C186" t="n">
        <v>0</v>
      </c>
      <c r="D186" t="n">
        <v>-1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M186" t="n">
        <v>1</v>
      </c>
    </row>
    <row r="187">
      <c r="A187" t="inlineStr">
        <is>
          <t>HI JADE</t>
        </is>
      </c>
      <c r="B187" t="n">
        <v>135944.18</v>
      </c>
      <c r="C187" t="n">
        <v>0</v>
      </c>
      <c r="D187" t="n">
        <v>27309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M187" t="n">
        <v>1</v>
      </c>
    </row>
    <row r="188">
      <c r="A188" t="inlineStr">
        <is>
          <t>HIDDEN VALLEY</t>
        </is>
      </c>
      <c r="B188" t="n">
        <v>0</v>
      </c>
      <c r="C188" t="n">
        <v>9219.500245759999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M188" t="n">
        <v>1</v>
      </c>
    </row>
    <row r="189">
      <c r="A189" t="inlineStr">
        <is>
          <t>HONEY BOY</t>
        </is>
      </c>
      <c r="B189" t="n">
        <v>8412150.507500008</v>
      </c>
      <c r="C189" t="n">
        <v>0</v>
      </c>
      <c r="D189" t="n">
        <v>2245640</v>
      </c>
      <c r="E189" t="n">
        <v>1</v>
      </c>
      <c r="F189" t="n">
        <v>0</v>
      </c>
      <c r="G189" t="n">
        <v>0.2</v>
      </c>
      <c r="H189" t="n">
        <v>0.1</v>
      </c>
      <c r="I189" t="n">
        <v>0</v>
      </c>
      <c r="M189" t="n">
        <v>1</v>
      </c>
    </row>
    <row r="190">
      <c r="A190" t="inlineStr">
        <is>
          <t>HONEY SMOKED FISH</t>
        </is>
      </c>
      <c r="B190" t="n">
        <v>741103.0800000001</v>
      </c>
      <c r="C190" t="n">
        <v>1594.399996049</v>
      </c>
      <c r="D190" t="n">
        <v>156240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M190" t="n">
        <v>0</v>
      </c>
    </row>
    <row r="191">
      <c r="A191" t="inlineStr">
        <is>
          <t>HORIZON ORGANIC</t>
        </is>
      </c>
      <c r="B191" t="n">
        <v>94.94999999999999</v>
      </c>
      <c r="C191" t="n">
        <v>125.539352787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M191" t="n">
        <v>0</v>
      </c>
    </row>
    <row r="192">
      <c r="A192" t="inlineStr">
        <is>
          <t>HORMEL</t>
        </is>
      </c>
      <c r="B192" t="n">
        <v>356793251.5136666</v>
      </c>
      <c r="C192" t="n">
        <v>3506504.770325472</v>
      </c>
      <c r="D192" t="n">
        <v>131138993.79</v>
      </c>
      <c r="E192" t="n">
        <v>0</v>
      </c>
      <c r="F192" t="n">
        <v>0</v>
      </c>
      <c r="G192" t="n">
        <v>6.8</v>
      </c>
      <c r="H192" t="n">
        <v>5.7</v>
      </c>
      <c r="I192" t="n">
        <v>19</v>
      </c>
      <c r="M192" t="n">
        <v>0</v>
      </c>
    </row>
    <row r="193">
      <c r="A193" t="inlineStr">
        <is>
          <t>HORMELCHILI</t>
        </is>
      </c>
      <c r="B193" t="n">
        <v>0</v>
      </c>
      <c r="C193" t="n">
        <v>15.720000025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M193" t="n">
        <v>1</v>
      </c>
    </row>
    <row r="194">
      <c r="A194" t="inlineStr">
        <is>
          <t>HYPERMART</t>
        </is>
      </c>
      <c r="B194" t="n">
        <v>247126.77</v>
      </c>
      <c r="C194" t="n">
        <v>0</v>
      </c>
      <c r="D194" t="n">
        <v>34909.95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M194" t="n">
        <v>1</v>
      </c>
    </row>
    <row r="195">
      <c r="A195" t="inlineStr">
        <is>
          <t>IBERIA</t>
        </is>
      </c>
      <c r="B195" t="n">
        <v>2908474.18</v>
      </c>
      <c r="C195" t="n">
        <v>0</v>
      </c>
      <c r="D195" t="n">
        <v>1398473</v>
      </c>
      <c r="E195" t="n">
        <v>1</v>
      </c>
      <c r="F195" t="n">
        <v>0</v>
      </c>
      <c r="G195" t="n">
        <v>0.1</v>
      </c>
      <c r="H195" t="n">
        <v>0.1</v>
      </c>
      <c r="I195" t="n">
        <v>0</v>
      </c>
      <c r="M195" t="n">
        <v>1</v>
      </c>
    </row>
    <row r="196">
      <c r="A196" t="inlineStr">
        <is>
          <t>ICY POINT</t>
        </is>
      </c>
      <c r="B196" t="n">
        <v>5.32</v>
      </c>
      <c r="C196" t="n">
        <v>0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M196" t="n">
        <v>1</v>
      </c>
    </row>
    <row r="197">
      <c r="A197" t="inlineStr">
        <is>
          <t>IDAHOAN</t>
        </is>
      </c>
      <c r="B197" t="n">
        <v>105.06</v>
      </c>
      <c r="C197" t="n">
        <v>0</v>
      </c>
      <c r="D197" t="n">
        <v>83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M197" t="n">
        <v>1</v>
      </c>
    </row>
    <row r="198">
      <c r="A198" t="inlineStr">
        <is>
          <t>INA</t>
        </is>
      </c>
      <c r="B198" t="n">
        <v>354.97</v>
      </c>
      <c r="C198" t="n">
        <v>0</v>
      </c>
      <c r="D198" t="n">
        <v>16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M198" t="n">
        <v>1</v>
      </c>
    </row>
    <row r="199">
      <c r="A199" t="inlineStr">
        <is>
          <t>INABA</t>
        </is>
      </c>
      <c r="B199" t="n">
        <v>30675.66</v>
      </c>
      <c r="C199" t="n">
        <v>4650.514716017999</v>
      </c>
      <c r="D199" t="n">
        <v>959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M199" t="n">
        <v>0</v>
      </c>
    </row>
    <row r="200">
      <c r="A200" t="inlineStr">
        <is>
          <t>INDOMIE</t>
        </is>
      </c>
      <c r="B200" t="n">
        <v>177.6</v>
      </c>
      <c r="C200" t="n">
        <v>0</v>
      </c>
      <c r="D200" t="n">
        <v>96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M200" t="n">
        <v>1</v>
      </c>
    </row>
    <row r="201">
      <c r="A201" t="inlineStr">
        <is>
          <t>ISADORA</t>
        </is>
      </c>
      <c r="B201" t="n">
        <v>154715.36</v>
      </c>
      <c r="C201" t="n">
        <v>966.3900009839999</v>
      </c>
      <c r="D201" t="n">
        <v>29079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M201" t="n">
        <v>0</v>
      </c>
    </row>
    <row r="202">
      <c r="A202" t="inlineStr">
        <is>
          <t>ITALY BRAND AMERICAN</t>
        </is>
      </c>
      <c r="B202" t="n">
        <v>13222.1</v>
      </c>
      <c r="C202" t="n">
        <v>0</v>
      </c>
      <c r="D202" t="n">
        <v>4793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M202" t="n">
        <v>1</v>
      </c>
    </row>
    <row r="203">
      <c r="A203" t="inlineStr">
        <is>
          <t>JACK LINK'S</t>
        </is>
      </c>
      <c r="B203" t="n">
        <v>9290740.26</v>
      </c>
      <c r="C203" t="n">
        <v>96326.52549628701</v>
      </c>
      <c r="D203" t="n">
        <v>2579924</v>
      </c>
      <c r="E203" t="n">
        <v>0</v>
      </c>
      <c r="F203" t="n">
        <v>0</v>
      </c>
      <c r="G203" t="n">
        <v>0.2</v>
      </c>
      <c r="H203" t="n">
        <v>0.1</v>
      </c>
      <c r="I203" t="n">
        <v>0.5</v>
      </c>
      <c r="M203" t="n">
        <v>0</v>
      </c>
    </row>
    <row r="204">
      <c r="A204" t="inlineStr">
        <is>
          <t>JADE FOOD PRODUCTS</t>
        </is>
      </c>
      <c r="B204" t="n">
        <v>81656.32000000001</v>
      </c>
      <c r="C204" t="n">
        <v>0</v>
      </c>
      <c r="D204" t="n">
        <v>16764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M204" t="n">
        <v>1</v>
      </c>
    </row>
    <row r="205">
      <c r="A205" t="inlineStr">
        <is>
          <t>JADRANKA</t>
        </is>
      </c>
      <c r="B205" t="n">
        <v>250.58</v>
      </c>
      <c r="C205" t="n">
        <v>0</v>
      </c>
      <c r="D205" t="n">
        <v>134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M205" t="n">
        <v>1</v>
      </c>
    </row>
    <row r="206">
      <c r="A206" t="inlineStr">
        <is>
          <t>JAMAICAN COUNTRY STYLE</t>
        </is>
      </c>
      <c r="B206" t="n">
        <v>181597.2</v>
      </c>
      <c r="C206" t="n">
        <v>0</v>
      </c>
      <c r="D206" t="n">
        <v>38153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M206" t="n">
        <v>1</v>
      </c>
    </row>
    <row r="207">
      <c r="A207" t="inlineStr">
        <is>
          <t>JAMBALAYA GIRL</t>
        </is>
      </c>
      <c r="B207" t="n">
        <v>0</v>
      </c>
      <c r="C207" t="n">
        <v>139.229999138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M207" t="n">
        <v>1</v>
      </c>
    </row>
    <row r="208">
      <c r="A208" t="inlineStr">
        <is>
          <t>JIMMY DEAN</t>
        </is>
      </c>
      <c r="B208" t="n">
        <v>0</v>
      </c>
      <c r="C208" t="n">
        <v>9194.926725345002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M208" t="n">
        <v>1</v>
      </c>
    </row>
    <row r="209">
      <c r="A209" t="inlineStr">
        <is>
          <t>JOS OL</t>
        </is>
      </c>
      <c r="B209" t="n">
        <v>0</v>
      </c>
      <c r="C209" t="n">
        <v>23130.266155799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0.1</v>
      </c>
      <c r="M209" t="n">
        <v>1</v>
      </c>
    </row>
    <row r="210">
      <c r="A210" t="inlineStr">
        <is>
          <t>JOVIAL</t>
        </is>
      </c>
      <c r="B210" t="n">
        <v>238571.569999999</v>
      </c>
      <c r="C210" t="n">
        <v>6079.179986672</v>
      </c>
      <c r="D210" t="n">
        <v>60392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M210" t="n">
        <v>0</v>
      </c>
    </row>
    <row r="211">
      <c r="A211" t="inlineStr">
        <is>
          <t>JUST CRACK AN EGG</t>
        </is>
      </c>
      <c r="B211" t="n">
        <v>22.94</v>
      </c>
      <c r="C211" t="n">
        <v>0</v>
      </c>
      <c r="D211" t="n">
        <v>10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M211" t="n">
        <v>1</v>
      </c>
    </row>
    <row r="212">
      <c r="A212" t="inlineStr">
        <is>
          <t>KA-ME</t>
        </is>
      </c>
      <c r="B212" t="n">
        <v>0</v>
      </c>
      <c r="C212" t="n">
        <v>256.6444456600001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M212" t="n">
        <v>1</v>
      </c>
    </row>
    <row r="213">
      <c r="A213" t="inlineStr">
        <is>
          <t>KAJUN KICK</t>
        </is>
      </c>
      <c r="B213" t="n">
        <v>70.16</v>
      </c>
      <c r="C213" t="n">
        <v>0</v>
      </c>
      <c r="D213" t="n">
        <v>8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M213" t="n">
        <v>1</v>
      </c>
    </row>
    <row r="214">
      <c r="A214" t="inlineStr">
        <is>
          <t>KASIA'S</t>
        </is>
      </c>
      <c r="B214" t="n">
        <v>28137.95</v>
      </c>
      <c r="C214" t="n">
        <v>0</v>
      </c>
      <c r="D214" t="n">
        <v>6839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M214" t="n">
        <v>1</v>
      </c>
    </row>
    <row r="215">
      <c r="A215" t="inlineStr">
        <is>
          <t>KEDEM</t>
        </is>
      </c>
      <c r="B215" t="n">
        <v>2345.74</v>
      </c>
      <c r="C215" t="n">
        <v>0</v>
      </c>
      <c r="D215" t="n">
        <v>446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M215" t="n">
        <v>1</v>
      </c>
    </row>
    <row r="216">
      <c r="A216" t="inlineStr">
        <is>
          <t>KELLY'S</t>
        </is>
      </c>
      <c r="B216" t="n">
        <v>84729.47</v>
      </c>
      <c r="C216" t="n">
        <v>0</v>
      </c>
      <c r="D216" t="n">
        <v>33505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M216" t="n">
        <v>1</v>
      </c>
    </row>
    <row r="217">
      <c r="A217" t="inlineStr">
        <is>
          <t>KETTLE &amp; FIRE</t>
        </is>
      </c>
      <c r="B217" t="n">
        <v>0</v>
      </c>
      <c r="C217" t="n">
        <v>140.419558547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M217" t="n">
        <v>1</v>
      </c>
    </row>
    <row r="218">
      <c r="A218" t="inlineStr">
        <is>
          <t>KEVIN'S NATURAL FOODS</t>
        </is>
      </c>
      <c r="B218" t="n">
        <v>29.01</v>
      </c>
      <c r="C218" t="n">
        <v>0</v>
      </c>
      <c r="D218" t="n">
        <v>3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M218" t="n">
        <v>1</v>
      </c>
    </row>
    <row r="219">
      <c r="A219" t="inlineStr">
        <is>
          <t>KEYSTONE</t>
        </is>
      </c>
      <c r="B219" t="n">
        <v>23631519.42000001</v>
      </c>
      <c r="C219" t="n">
        <v>38117.69001245699</v>
      </c>
      <c r="D219" t="n">
        <v>3191195</v>
      </c>
      <c r="E219" t="n">
        <v>0</v>
      </c>
      <c r="F219" t="n">
        <v>0</v>
      </c>
      <c r="G219" t="n">
        <v>0.5</v>
      </c>
      <c r="H219" t="n">
        <v>0.1</v>
      </c>
      <c r="I219" t="n">
        <v>0.2</v>
      </c>
      <c r="M219" t="n">
        <v>0</v>
      </c>
    </row>
    <row r="220">
      <c r="A220" t="inlineStr">
        <is>
          <t>KEYSTONE BEEF</t>
        </is>
      </c>
      <c r="B220" t="n">
        <v>18141306.51</v>
      </c>
      <c r="C220" t="n">
        <v>38145.73999210601</v>
      </c>
      <c r="D220" t="n">
        <v>1874716</v>
      </c>
      <c r="E220" t="n">
        <v>0</v>
      </c>
      <c r="F220" t="n">
        <v>0</v>
      </c>
      <c r="G220" t="n">
        <v>0.3</v>
      </c>
      <c r="H220" t="n">
        <v>0.1</v>
      </c>
      <c r="I220" t="n">
        <v>0.2</v>
      </c>
      <c r="M220" t="n">
        <v>0</v>
      </c>
    </row>
    <row r="221">
      <c r="A221" t="inlineStr">
        <is>
          <t>KEYSTONE MEATS</t>
        </is>
      </c>
      <c r="B221" t="n">
        <v>998421.37</v>
      </c>
      <c r="C221" t="n">
        <v>5069.979996855001</v>
      </c>
      <c r="D221" t="n">
        <v>134941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M221" t="n">
        <v>0</v>
      </c>
    </row>
    <row r="222">
      <c r="A222" t="inlineStr">
        <is>
          <t>KIKKOMAN</t>
        </is>
      </c>
      <c r="B222" t="n">
        <v>742.22</v>
      </c>
      <c r="C222" t="n">
        <v>109.030170745</v>
      </c>
      <c r="D222" t="n">
        <v>579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M222" t="n">
        <v>0</v>
      </c>
    </row>
    <row r="223">
      <c r="A223" t="inlineStr">
        <is>
          <t>KIKUET</t>
        </is>
      </c>
      <c r="B223" t="n">
        <v>77531.03</v>
      </c>
      <c r="C223" t="n">
        <v>0</v>
      </c>
      <c r="D223" t="n">
        <v>21338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M223" t="n">
        <v>1</v>
      </c>
    </row>
    <row r="224">
      <c r="A224" t="inlineStr">
        <is>
          <t>KING OSCAR</t>
        </is>
      </c>
      <c r="B224" t="n">
        <v>47432819.7505637</v>
      </c>
      <c r="C224" t="n">
        <v>399010.306561324</v>
      </c>
      <c r="D224" t="n">
        <v>16437229</v>
      </c>
      <c r="E224" t="n">
        <v>0</v>
      </c>
      <c r="F224" t="n">
        <v>0</v>
      </c>
      <c r="G224" t="n">
        <v>0.9</v>
      </c>
      <c r="H224" t="n">
        <v>0.7</v>
      </c>
      <c r="I224" t="n">
        <v>2.2</v>
      </c>
      <c r="M224" t="n">
        <v>0</v>
      </c>
    </row>
    <row r="225">
      <c r="A225" t="inlineStr">
        <is>
          <t>KIRBY AND HOLLOWAY</t>
        </is>
      </c>
      <c r="B225" t="n">
        <v>114314.49</v>
      </c>
      <c r="C225" t="n">
        <v>0</v>
      </c>
      <c r="D225" t="n">
        <v>22802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M225" t="n">
        <v>1</v>
      </c>
    </row>
    <row r="226">
      <c r="A226" t="inlineStr">
        <is>
          <t>KIRKLAND SIGNATURE</t>
        </is>
      </c>
      <c r="B226" t="n">
        <v>-44.27</v>
      </c>
      <c r="C226" t="n">
        <v>0</v>
      </c>
      <c r="D226" t="n">
        <v>-3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M226" t="n">
        <v>1</v>
      </c>
    </row>
    <row r="227">
      <c r="A227" t="inlineStr">
        <is>
          <t>KITCHEN &amp; LOVE</t>
        </is>
      </c>
      <c r="B227" t="n">
        <v>1430229.16</v>
      </c>
      <c r="C227" t="n">
        <v>0</v>
      </c>
      <c r="D227" t="n">
        <v>410797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M227" t="n">
        <v>1</v>
      </c>
    </row>
    <row r="228">
      <c r="A228" t="inlineStr">
        <is>
          <t>KNOTT'S FOODS</t>
        </is>
      </c>
      <c r="B228" t="n">
        <v>34746.25999999999</v>
      </c>
      <c r="C228" t="n">
        <v>0</v>
      </c>
      <c r="D228" t="n">
        <v>6121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M228" t="n">
        <v>1</v>
      </c>
    </row>
    <row r="229">
      <c r="A229" t="inlineStr">
        <is>
          <t>KOKUBO</t>
        </is>
      </c>
      <c r="B229" t="n">
        <v>7207.09</v>
      </c>
      <c r="C229" t="n">
        <v>0</v>
      </c>
      <c r="D229" t="n">
        <v>2058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M229" t="n">
        <v>1</v>
      </c>
    </row>
    <row r="230">
      <c r="A230" t="inlineStr">
        <is>
          <t>KRAFT</t>
        </is>
      </c>
      <c r="B230" t="n">
        <v>13.88</v>
      </c>
      <c r="C230" t="n">
        <v>0</v>
      </c>
      <c r="D230" t="n">
        <v>6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M230" t="n">
        <v>1</v>
      </c>
    </row>
    <row r="231">
      <c r="A231" t="inlineStr">
        <is>
          <t>KRAS</t>
        </is>
      </c>
      <c r="B231" t="n">
        <v>7261.88</v>
      </c>
      <c r="C231" t="n">
        <v>0</v>
      </c>
      <c r="D231" t="n">
        <v>2310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M231" t="n">
        <v>1</v>
      </c>
    </row>
    <row r="232">
      <c r="A232" t="inlineStr">
        <is>
          <t>KRAS DELAMARIS</t>
        </is>
      </c>
      <c r="B232" t="n">
        <v>81.12</v>
      </c>
      <c r="C232" t="n">
        <v>0</v>
      </c>
      <c r="D232" t="n">
        <v>26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M232" t="n">
        <v>1</v>
      </c>
    </row>
    <row r="233">
      <c r="A233" t="inlineStr">
        <is>
          <t>KUSARI NOODLES</t>
        </is>
      </c>
      <c r="B233" t="n">
        <v>14.9</v>
      </c>
      <c r="C233" t="n">
        <v>0</v>
      </c>
      <c r="D233" t="n">
        <v>5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M233" t="n">
        <v>1</v>
      </c>
    </row>
    <row r="234">
      <c r="A234" t="inlineStr">
        <is>
          <t>LA BUENA PESCA</t>
        </is>
      </c>
      <c r="B234" t="n">
        <v>1321.29</v>
      </c>
      <c r="C234" t="n">
        <v>0</v>
      </c>
      <c r="D234" t="n">
        <v>105.9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M234" t="n">
        <v>1</v>
      </c>
    </row>
    <row r="235">
      <c r="A235" t="inlineStr">
        <is>
          <t>LA CENA</t>
        </is>
      </c>
      <c r="B235" t="n">
        <v>39218.62</v>
      </c>
      <c r="C235" t="n">
        <v>0</v>
      </c>
      <c r="D235" t="n">
        <v>19379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M235" t="n">
        <v>1</v>
      </c>
    </row>
    <row r="236">
      <c r="A236" t="inlineStr">
        <is>
          <t>LA CENA BAJAMAR</t>
        </is>
      </c>
      <c r="B236" t="n">
        <v>6677.38</v>
      </c>
      <c r="C236" t="n">
        <v>0</v>
      </c>
      <c r="D236" t="n">
        <v>3887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M236" t="n">
        <v>1</v>
      </c>
    </row>
    <row r="237">
      <c r="A237" t="inlineStr">
        <is>
          <t>LA CHOLITA</t>
        </is>
      </c>
      <c r="B237" t="n">
        <v>37977.17</v>
      </c>
      <c r="C237" t="n">
        <v>0</v>
      </c>
      <c r="D237" t="n">
        <v>9429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M237" t="n">
        <v>1</v>
      </c>
    </row>
    <row r="238">
      <c r="A238" t="inlineStr">
        <is>
          <t>LA FE</t>
        </is>
      </c>
      <c r="B238" t="n">
        <v>317317.56</v>
      </c>
      <c r="C238" t="n">
        <v>0</v>
      </c>
      <c r="D238" t="n">
        <v>163081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M238" t="n">
        <v>1</v>
      </c>
    </row>
    <row r="239">
      <c r="A239" t="inlineStr">
        <is>
          <t>LA GUADALUPANA</t>
        </is>
      </c>
      <c r="B239" t="n">
        <v>37675.71999999999</v>
      </c>
      <c r="C239" t="n">
        <v>0</v>
      </c>
      <c r="D239" t="n">
        <v>5780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M239" t="n">
        <v>1</v>
      </c>
    </row>
    <row r="240">
      <c r="A240" t="inlineStr">
        <is>
          <t>LA PREFERIDA</t>
        </is>
      </c>
      <c r="B240" t="n">
        <v>528520.34</v>
      </c>
      <c r="C240" t="n">
        <v>0</v>
      </c>
      <c r="D240" t="n">
        <v>281019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M240" t="n">
        <v>1</v>
      </c>
    </row>
    <row r="241">
      <c r="A241" t="inlineStr">
        <is>
          <t>LA SIRENA</t>
        </is>
      </c>
      <c r="B241" t="n">
        <v>186.12</v>
      </c>
      <c r="C241" t="n">
        <v>0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M241" t="n">
        <v>1</v>
      </c>
    </row>
    <row r="242">
      <c r="A242" t="inlineStr">
        <is>
          <t>LAS SEVILLANAS</t>
        </is>
      </c>
      <c r="B242" t="n">
        <v>27936.8</v>
      </c>
      <c r="C242" t="n">
        <v>0</v>
      </c>
      <c r="D242" t="n">
        <v>5680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M242" t="n">
        <v>1</v>
      </c>
    </row>
    <row r="243">
      <c r="A243" t="inlineStr">
        <is>
          <t>LAWRY'S</t>
        </is>
      </c>
      <c r="B243" t="n">
        <v>69200.67</v>
      </c>
      <c r="C243" t="n">
        <v>0</v>
      </c>
      <c r="D243" t="n">
        <v>9155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M243" t="n">
        <v>1</v>
      </c>
    </row>
    <row r="244">
      <c r="A244" t="inlineStr">
        <is>
          <t>LEB VLY</t>
        </is>
      </c>
      <c r="B244" t="n">
        <v>22.44</v>
      </c>
      <c r="C244" t="n">
        <v>0</v>
      </c>
      <c r="D244" t="n">
        <v>8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M244" t="n">
        <v>1</v>
      </c>
    </row>
    <row r="245">
      <c r="A245" t="inlineStr">
        <is>
          <t>LEBANON VALLEY</t>
        </is>
      </c>
      <c r="B245" t="n">
        <v>658.49</v>
      </c>
      <c r="C245" t="n">
        <v>0</v>
      </c>
      <c r="D245" t="n">
        <v>249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M245" t="n">
        <v>1</v>
      </c>
    </row>
    <row r="246">
      <c r="A246" t="inlineStr">
        <is>
          <t>LENTIFUL</t>
        </is>
      </c>
      <c r="B246" t="n">
        <v>25412.47</v>
      </c>
      <c r="C246" t="n">
        <v>1918.85000486</v>
      </c>
      <c r="D246" t="n">
        <v>7371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M246" t="n">
        <v>0</v>
      </c>
    </row>
    <row r="247">
      <c r="A247" t="inlineStr">
        <is>
          <t>LIBBY'S</t>
        </is>
      </c>
      <c r="B247" t="n">
        <v>113367693.27</v>
      </c>
      <c r="C247" t="n">
        <v>0</v>
      </c>
      <c r="D247" t="n">
        <v>70603258</v>
      </c>
      <c r="E247" t="n">
        <v>1</v>
      </c>
      <c r="F247" t="n">
        <v>0</v>
      </c>
      <c r="G247" t="n">
        <v>2.2</v>
      </c>
      <c r="H247" t="n">
        <v>3.1</v>
      </c>
      <c r="I247" t="n">
        <v>0</v>
      </c>
      <c r="M247" t="n">
        <v>1</v>
      </c>
    </row>
    <row r="248">
      <c r="A248" t="inlineStr">
        <is>
          <t>LIBERTY GOLD</t>
        </is>
      </c>
      <c r="B248" t="n">
        <v>180462.36</v>
      </c>
      <c r="C248" t="n">
        <v>0</v>
      </c>
      <c r="D248" t="n">
        <v>164651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M248" t="n">
        <v>1</v>
      </c>
    </row>
    <row r="249">
      <c r="A249" t="inlineStr">
        <is>
          <t>LIVEOCEAN SEAFOODS</t>
        </is>
      </c>
      <c r="B249" t="n">
        <v>206941.56</v>
      </c>
      <c r="C249" t="n">
        <v>7720.939895539002</v>
      </c>
      <c r="D249" t="n">
        <v>18860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M249" t="n">
        <v>0</v>
      </c>
    </row>
    <row r="250">
      <c r="A250" t="inlineStr">
        <is>
          <t>LOMA LINDA</t>
        </is>
      </c>
      <c r="B250" t="n">
        <v>151183.99</v>
      </c>
      <c r="C250" t="n">
        <v>0</v>
      </c>
      <c r="D250" t="n">
        <v>22418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M250" t="n">
        <v>1</v>
      </c>
    </row>
    <row r="251">
      <c r="A251" t="inlineStr">
        <is>
          <t>LORETTA</t>
        </is>
      </c>
      <c r="B251" t="n">
        <v>-1.98</v>
      </c>
      <c r="C251" t="n">
        <v>0</v>
      </c>
      <c r="D251" t="n">
        <v>-1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M251" t="n">
        <v>1</v>
      </c>
    </row>
    <row r="252">
      <c r="A252" t="inlineStr">
        <is>
          <t>LOTUS FOODS</t>
        </is>
      </c>
      <c r="B252" t="n">
        <v>9680.049999999999</v>
      </c>
      <c r="C252" t="n">
        <v>0</v>
      </c>
      <c r="D252" t="n">
        <v>4960.41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M252" t="n">
        <v>1</v>
      </c>
    </row>
    <row r="253">
      <c r="A253" t="inlineStr">
        <is>
          <t>LOUIS KEMP</t>
        </is>
      </c>
      <c r="B253" t="n">
        <v>0</v>
      </c>
      <c r="C253" t="n">
        <v>2678.260016193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M253" t="n">
        <v>1</v>
      </c>
    </row>
    <row r="254">
      <c r="A254" t="inlineStr">
        <is>
          <t>LOUISIANA FISH FRY PRODUCTS</t>
        </is>
      </c>
      <c r="B254" t="n">
        <v>8436.68</v>
      </c>
      <c r="C254" t="n">
        <v>0</v>
      </c>
      <c r="D254" t="n">
        <v>591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M254" t="n">
        <v>1</v>
      </c>
    </row>
    <row r="255">
      <c r="A255" t="inlineStr">
        <is>
          <t>LUCK'S</t>
        </is>
      </c>
      <c r="B255" t="n">
        <v>3.44</v>
      </c>
      <c r="C255" t="n">
        <v>0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M255" t="n">
        <v>1</v>
      </c>
    </row>
    <row r="256">
      <c r="A256" t="inlineStr">
        <is>
          <t>LUNDBERG FAMILY FARMS</t>
        </is>
      </c>
      <c r="B256" t="n">
        <v>784.9299999999999</v>
      </c>
      <c r="C256" t="n">
        <v>0</v>
      </c>
      <c r="D256" t="n">
        <v>36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M256" t="n">
        <v>1</v>
      </c>
    </row>
    <row r="257">
      <c r="A257" t="inlineStr">
        <is>
          <t>MAC A RONI</t>
        </is>
      </c>
      <c r="B257" t="n">
        <v>2583080.61</v>
      </c>
      <c r="C257" t="n">
        <v>148424.157464781</v>
      </c>
      <c r="D257" t="n">
        <v>2366738</v>
      </c>
      <c r="E257" t="n">
        <v>0</v>
      </c>
      <c r="F257" t="n">
        <v>0</v>
      </c>
      <c r="G257" t="n">
        <v>0</v>
      </c>
      <c r="H257" t="n">
        <v>0.1</v>
      </c>
      <c r="I257" t="n">
        <v>0.8</v>
      </c>
      <c r="M257" t="n">
        <v>0</v>
      </c>
    </row>
    <row r="258">
      <c r="A258" t="inlineStr">
        <is>
          <t>MADAM</t>
        </is>
      </c>
      <c r="B258" t="n">
        <v>16.02</v>
      </c>
      <c r="C258" t="n">
        <v>0</v>
      </c>
      <c r="D258" t="n">
        <v>9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M258" t="n">
        <v>1</v>
      </c>
    </row>
    <row r="259">
      <c r="A259" t="inlineStr">
        <is>
          <t>MADAME GOUGOUSSE</t>
        </is>
      </c>
      <c r="B259" t="n">
        <v>15642.55</v>
      </c>
      <c r="C259" t="n">
        <v>0</v>
      </c>
      <c r="D259" t="n">
        <v>7230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M259" t="n">
        <v>1</v>
      </c>
    </row>
    <row r="260">
      <c r="A260" t="inlineStr">
        <is>
          <t>MADE IN NATURE</t>
        </is>
      </c>
      <c r="B260" t="n">
        <v>27.28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M260" t="n">
        <v>1</v>
      </c>
    </row>
    <row r="261">
      <c r="A261" t="inlineStr">
        <is>
          <t>MAGA</t>
        </is>
      </c>
      <c r="B261" t="n">
        <v>80056.39999999999</v>
      </c>
      <c r="C261" t="n">
        <v>0</v>
      </c>
      <c r="D261" t="n">
        <v>25049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M261" t="n">
        <v>1</v>
      </c>
    </row>
    <row r="262">
      <c r="A262" t="inlineStr">
        <is>
          <t>MAGIC MAN</t>
        </is>
      </c>
      <c r="B262" t="n">
        <v>18024.87</v>
      </c>
      <c r="C262" t="n">
        <v>517.0799976840001</v>
      </c>
      <c r="D262" t="n">
        <v>4820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M262" t="n">
        <v>0</v>
      </c>
    </row>
    <row r="263">
      <c r="A263" t="inlineStr">
        <is>
          <t>MAGNA-TILES</t>
        </is>
      </c>
      <c r="B263" t="n">
        <v>0</v>
      </c>
      <c r="C263" t="n">
        <v>730.6318181049996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M263" t="n">
        <v>1</v>
      </c>
    </row>
    <row r="264">
      <c r="A264" t="inlineStr">
        <is>
          <t>MAHATMA</t>
        </is>
      </c>
      <c r="B264" t="n">
        <v>806.4</v>
      </c>
      <c r="C264" t="n">
        <v>8804.013486175003</v>
      </c>
      <c r="D264" t="n">
        <v>899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M264" t="n">
        <v>0</v>
      </c>
    </row>
    <row r="265">
      <c r="A265" t="inlineStr">
        <is>
          <t>MALHER</t>
        </is>
      </c>
      <c r="B265" t="n">
        <v>177.39</v>
      </c>
      <c r="C265" t="n">
        <v>0</v>
      </c>
      <c r="D265" t="n">
        <v>9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M265" t="n">
        <v>1</v>
      </c>
    </row>
    <row r="266">
      <c r="A266" t="inlineStr">
        <is>
          <t>MAMA JULIA</t>
        </is>
      </c>
      <c r="B266" t="n">
        <v>17555.63</v>
      </c>
      <c r="C266" t="n">
        <v>233.489997856</v>
      </c>
      <c r="D266" t="n">
        <v>2528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M266" t="n">
        <v>0</v>
      </c>
    </row>
    <row r="267">
      <c r="A267" t="inlineStr">
        <is>
          <t>MAMA SITA'S</t>
        </is>
      </c>
      <c r="B267" t="n">
        <v>0</v>
      </c>
      <c r="C267" t="n">
        <v>2.018480856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M267" t="n">
        <v>1</v>
      </c>
    </row>
    <row r="268">
      <c r="A268" t="inlineStr">
        <is>
          <t>MANISCHEWITZ</t>
        </is>
      </c>
      <c r="B268" t="n">
        <v>-8.08</v>
      </c>
      <c r="C268" t="n">
        <v>0</v>
      </c>
      <c r="D268" t="n">
        <v>-1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M268" t="n">
        <v>1</v>
      </c>
    </row>
    <row r="269">
      <c r="A269" t="inlineStr">
        <is>
          <t>MANNA PRO</t>
        </is>
      </c>
      <c r="B269" t="n">
        <v>2008.8</v>
      </c>
      <c r="C269" t="n">
        <v>0</v>
      </c>
      <c r="D269" t="n">
        <v>310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M269" t="n">
        <v>1</v>
      </c>
    </row>
    <row r="270">
      <c r="A270" t="inlineStr">
        <is>
          <t>MANWICH</t>
        </is>
      </c>
      <c r="B270" t="n">
        <v>104175093.72</v>
      </c>
      <c r="C270" t="n">
        <v>125401.495903989</v>
      </c>
      <c r="D270" t="n">
        <v>68795410</v>
      </c>
      <c r="E270" t="n">
        <v>0</v>
      </c>
      <c r="F270" t="n">
        <v>0</v>
      </c>
      <c r="G270" t="n">
        <v>2</v>
      </c>
      <c r="H270" t="n">
        <v>3</v>
      </c>
      <c r="I270" t="n">
        <v>0.7</v>
      </c>
      <c r="M270" t="n">
        <v>0</v>
      </c>
    </row>
    <row r="271">
      <c r="A271" t="inlineStr">
        <is>
          <t>MARCO POLO</t>
        </is>
      </c>
      <c r="B271" t="n">
        <v>397865.41</v>
      </c>
      <c r="C271" t="n">
        <v>50.700000401</v>
      </c>
      <c r="D271" t="n">
        <v>92613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M271" t="n">
        <v>0</v>
      </c>
    </row>
    <row r="272">
      <c r="A272" t="inlineStr">
        <is>
          <t>MARGARET HOLMES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M272" t="n">
        <v>1</v>
      </c>
    </row>
    <row r="273">
      <c r="A273" t="inlineStr">
        <is>
          <t>MARIE CALLENDER'S</t>
        </is>
      </c>
      <c r="B273" t="n">
        <v>1212144.39</v>
      </c>
      <c r="C273" t="n">
        <v>0</v>
      </c>
      <c r="D273" t="n">
        <v>651216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M273" t="n">
        <v>1</v>
      </c>
    </row>
    <row r="274">
      <c r="A274" t="inlineStr">
        <is>
          <t>MARKETSIDE</t>
        </is>
      </c>
      <c r="B274" t="n">
        <v>2016606.5</v>
      </c>
      <c r="C274" t="n">
        <v>0</v>
      </c>
      <c r="D274" t="n">
        <v>285686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M274" t="n">
        <v>1</v>
      </c>
    </row>
    <row r="275">
      <c r="A275" t="inlineStr">
        <is>
          <t>MARUCHAN</t>
        </is>
      </c>
      <c r="B275" t="n">
        <v>298579.785000009</v>
      </c>
      <c r="C275" t="n">
        <v>0</v>
      </c>
      <c r="D275" t="n">
        <v>66840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M275" t="n">
        <v>1</v>
      </c>
    </row>
    <row r="276">
      <c r="A276" t="inlineStr">
        <is>
          <t>MARY KITCHEN</t>
        </is>
      </c>
      <c r="B276" t="n">
        <v>85823276.72445238</v>
      </c>
      <c r="C276" t="n">
        <v>299162.824511103</v>
      </c>
      <c r="D276" t="n">
        <v>22360152</v>
      </c>
      <c r="E276" t="n">
        <v>0</v>
      </c>
      <c r="F276" t="n">
        <v>0</v>
      </c>
      <c r="G276" t="n">
        <v>1.6</v>
      </c>
      <c r="H276" t="n">
        <v>1</v>
      </c>
      <c r="I276" t="n">
        <v>1.6</v>
      </c>
      <c r="M276" t="n">
        <v>0</v>
      </c>
    </row>
    <row r="277">
      <c r="A277" t="inlineStr">
        <is>
          <t>MARZETTI</t>
        </is>
      </c>
      <c r="B277" t="n">
        <v>29737.14</v>
      </c>
      <c r="C277" t="n">
        <v>0</v>
      </c>
      <c r="D277" t="n">
        <v>6958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M277" t="n">
        <v>1</v>
      </c>
    </row>
    <row r="278">
      <c r="A278" t="inlineStr">
        <is>
          <t>MAYA KAIMAL</t>
        </is>
      </c>
      <c r="B278" t="n">
        <v>-4.42</v>
      </c>
      <c r="C278" t="n">
        <v>0</v>
      </c>
      <c r="D278" t="n">
        <v>-1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M278" t="n">
        <v>1</v>
      </c>
    </row>
    <row r="279">
      <c r="A279" t="inlineStr">
        <is>
          <t>MCCORMICK</t>
        </is>
      </c>
      <c r="B279" t="n">
        <v>-44.28</v>
      </c>
      <c r="C279" t="n">
        <v>0</v>
      </c>
      <c r="D279" t="n">
        <v>-2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M279" t="n">
        <v>1</v>
      </c>
    </row>
    <row r="280">
      <c r="A280" t="inlineStr">
        <is>
          <t>MEAL MART</t>
        </is>
      </c>
      <c r="B280" t="n">
        <v>15865.25</v>
      </c>
      <c r="C280" t="n">
        <v>0</v>
      </c>
      <c r="D280" t="n">
        <v>2342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M280" t="n">
        <v>1</v>
      </c>
    </row>
    <row r="281">
      <c r="A281" t="inlineStr">
        <is>
          <t>MEAT SHREDZ</t>
        </is>
      </c>
      <c r="B281" t="n">
        <v>207082.96</v>
      </c>
      <c r="C281" t="n">
        <v>16877.519934667</v>
      </c>
      <c r="D281" t="n">
        <v>38062</v>
      </c>
      <c r="E281" t="n">
        <v>0</v>
      </c>
      <c r="F281" t="n">
        <v>0</v>
      </c>
      <c r="G281" t="n">
        <v>0</v>
      </c>
      <c r="H281" t="n">
        <v>0</v>
      </c>
      <c r="I281" t="n">
        <v>0.1</v>
      </c>
      <c r="M281" t="n">
        <v>0</v>
      </c>
    </row>
    <row r="282">
      <c r="A282" t="inlineStr">
        <is>
          <t>MEGA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M282" t="n">
        <v>1</v>
      </c>
    </row>
    <row r="283">
      <c r="A283" t="inlineStr">
        <is>
          <t>MEMBER'S MARK</t>
        </is>
      </c>
      <c r="B283" t="n">
        <v>34.4</v>
      </c>
      <c r="C283" t="n">
        <v>0</v>
      </c>
      <c r="D283" t="n">
        <v>5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M283" t="n">
        <v>1</v>
      </c>
    </row>
    <row r="284">
      <c r="A284" t="inlineStr">
        <is>
          <t>MEZZETTA</t>
        </is>
      </c>
      <c r="B284" t="n">
        <v>1.98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M284" t="n">
        <v>1</v>
      </c>
    </row>
    <row r="285">
      <c r="A285" t="inlineStr">
        <is>
          <t>MI CAMPO</t>
        </is>
      </c>
      <c r="B285" t="n">
        <v>4452.51</v>
      </c>
      <c r="C285" t="n">
        <v>0</v>
      </c>
      <c r="D285" t="n">
        <v>3293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M285" t="n">
        <v>1</v>
      </c>
    </row>
    <row r="286">
      <c r="A286" t="inlineStr">
        <is>
          <t>MI GUATEMALA</t>
        </is>
      </c>
      <c r="B286" t="n">
        <v>100.31</v>
      </c>
      <c r="C286" t="n">
        <v>0</v>
      </c>
      <c r="D286" t="n">
        <v>7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M286" t="n">
        <v>1</v>
      </c>
    </row>
    <row r="287">
      <c r="A287" t="inlineStr">
        <is>
          <t>MILPAS</t>
        </is>
      </c>
      <c r="B287" t="n">
        <v>186.06</v>
      </c>
      <c r="C287" t="n">
        <v>0</v>
      </c>
      <c r="D287" t="n">
        <v>35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M287" t="n">
        <v>1</v>
      </c>
    </row>
    <row r="288">
      <c r="A288" t="inlineStr">
        <is>
          <t>MINA</t>
        </is>
      </c>
      <c r="B288" t="n">
        <v>30960.18</v>
      </c>
      <c r="C288" t="n">
        <v>0</v>
      </c>
      <c r="D288" t="n">
        <v>6895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M288" t="n">
        <v>1</v>
      </c>
    </row>
    <row r="289">
      <c r="A289" t="inlineStr">
        <is>
          <t>MINSLEY</t>
        </is>
      </c>
      <c r="B289" t="n">
        <v>1.5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M289" t="n">
        <v>1</v>
      </c>
    </row>
    <row r="290">
      <c r="A290" t="inlineStr">
        <is>
          <t>MINUTE</t>
        </is>
      </c>
      <c r="B290" t="n">
        <v>1401.5</v>
      </c>
      <c r="C290" t="n">
        <v>5636.284392670001</v>
      </c>
      <c r="D290" t="n">
        <v>663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M290" t="n">
        <v>0</v>
      </c>
    </row>
    <row r="291">
      <c r="A291" t="inlineStr">
        <is>
          <t>MIRACLE NOODLE</t>
        </is>
      </c>
      <c r="B291" t="n">
        <v>2203.23</v>
      </c>
      <c r="C291" t="n">
        <v>0</v>
      </c>
      <c r="D291" t="n">
        <v>236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M291" t="n">
        <v>1</v>
      </c>
    </row>
    <row r="292">
      <c r="A292" t="inlineStr">
        <is>
          <t>MIRACLE WHIP</t>
        </is>
      </c>
      <c r="B292" t="n">
        <v>0</v>
      </c>
      <c r="C292" t="n">
        <v>52.26000059500002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M292" t="n">
        <v>1</v>
      </c>
    </row>
    <row r="293">
      <c r="A293" t="inlineStr">
        <is>
          <t>MRS. ADLER'S</t>
        </is>
      </c>
      <c r="B293" t="n">
        <v>-4.78</v>
      </c>
      <c r="C293" t="n">
        <v>0</v>
      </c>
      <c r="D293" t="n">
        <v>-2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M293" t="n">
        <v>1</v>
      </c>
    </row>
    <row r="294">
      <c r="A294" t="inlineStr">
        <is>
          <t>MTR</t>
        </is>
      </c>
      <c r="B294" t="n">
        <v>910.55</v>
      </c>
      <c r="C294" t="n">
        <v>0</v>
      </c>
      <c r="D294" t="n">
        <v>461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M294" t="n">
        <v>1</v>
      </c>
    </row>
    <row r="295">
      <c r="A295" t="inlineStr">
        <is>
          <t>MW POLAR</t>
        </is>
      </c>
      <c r="B295" t="n">
        <v>10631260.25000001</v>
      </c>
      <c r="C295" t="n">
        <v>91154.18738034699</v>
      </c>
      <c r="D295" t="n">
        <v>4982552</v>
      </c>
      <c r="E295" t="n">
        <v>0</v>
      </c>
      <c r="F295" t="n">
        <v>0</v>
      </c>
      <c r="G295" t="n">
        <v>0.2</v>
      </c>
      <c r="H295" t="n">
        <v>0.2</v>
      </c>
      <c r="I295" t="n">
        <v>0.5</v>
      </c>
      <c r="M295" t="n">
        <v>0</v>
      </c>
    </row>
    <row r="296">
      <c r="A296" t="inlineStr">
        <is>
          <t>N'DULCE</t>
        </is>
      </c>
      <c r="B296" t="n">
        <v>134.46</v>
      </c>
      <c r="C296" t="n">
        <v>0</v>
      </c>
      <c r="D296" t="n">
        <v>27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M296" t="n">
        <v>1</v>
      </c>
    </row>
    <row r="297">
      <c r="A297" t="inlineStr">
        <is>
          <t>NAKED RICE</t>
        </is>
      </c>
      <c r="B297" t="n">
        <v>95.03999999999999</v>
      </c>
      <c r="C297" t="n">
        <v>0</v>
      </c>
      <c r="D297" t="n">
        <v>48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M297" t="n">
        <v>1</v>
      </c>
    </row>
    <row r="298">
      <c r="A298" t="inlineStr">
        <is>
          <t>NALLEY</t>
        </is>
      </c>
      <c r="B298" t="n">
        <v>35236180.73999999</v>
      </c>
      <c r="C298" t="n">
        <v>0</v>
      </c>
      <c r="D298" t="n">
        <v>18212011</v>
      </c>
      <c r="E298" t="n">
        <v>1</v>
      </c>
      <c r="F298" t="n">
        <v>0</v>
      </c>
      <c r="G298" t="n">
        <v>0.7</v>
      </c>
      <c r="H298" t="n">
        <v>0.8</v>
      </c>
      <c r="I298" t="n">
        <v>0</v>
      </c>
      <c r="M298" t="n">
        <v>1</v>
      </c>
    </row>
    <row r="299">
      <c r="A299" t="inlineStr">
        <is>
          <t>NASOYA</t>
        </is>
      </c>
      <c r="B299" t="n">
        <v>7.54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M299" t="n">
        <v>1</v>
      </c>
    </row>
    <row r="300">
      <c r="A300" t="inlineStr">
        <is>
          <t>NATIONAL CONEY ISLAND</t>
        </is>
      </c>
      <c r="B300" t="n">
        <v>523912.09</v>
      </c>
      <c r="C300" t="n">
        <v>9776.350162418998</v>
      </c>
      <c r="D300" t="n">
        <v>100899</v>
      </c>
      <c r="E300" t="n">
        <v>0</v>
      </c>
      <c r="F300" t="n">
        <v>0</v>
      </c>
      <c r="G300" t="n">
        <v>0</v>
      </c>
      <c r="H300" t="n">
        <v>0</v>
      </c>
      <c r="I300" t="n">
        <v>0.1</v>
      </c>
      <c r="M300" t="n">
        <v>0</v>
      </c>
    </row>
    <row r="301">
      <c r="A301" t="inlineStr">
        <is>
          <t>NATURAL SEA</t>
        </is>
      </c>
      <c r="B301" t="n">
        <v>5.05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M301" t="n">
        <v>1</v>
      </c>
    </row>
    <row r="302">
      <c r="A302" t="inlineStr">
        <is>
          <t>NATURE'S EARTHLY CHOICE</t>
        </is>
      </c>
      <c r="B302" t="n">
        <v>26495.84</v>
      </c>
      <c r="C302" t="n">
        <v>0</v>
      </c>
      <c r="D302" t="n">
        <v>6340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M302" t="n">
        <v>1</v>
      </c>
    </row>
    <row r="303">
      <c r="A303" t="inlineStr">
        <is>
          <t>NEAR EAST</t>
        </is>
      </c>
      <c r="B303" t="n">
        <v>37324.28</v>
      </c>
      <c r="C303" t="n">
        <v>0</v>
      </c>
      <c r="D303" t="n">
        <v>1125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M303" t="n">
        <v>1</v>
      </c>
    </row>
    <row r="304">
      <c r="A304" t="inlineStr">
        <is>
          <t>NEAT</t>
        </is>
      </c>
      <c r="B304" t="n">
        <v>179.58</v>
      </c>
      <c r="C304" t="n">
        <v>0</v>
      </c>
      <c r="D304" t="n">
        <v>6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M304" t="n">
        <v>1</v>
      </c>
    </row>
    <row r="305">
      <c r="A305" t="inlineStr">
        <is>
          <t>NEIGHBORLY FOOD CO.</t>
        </is>
      </c>
      <c r="B305" t="n">
        <v>5178.63</v>
      </c>
      <c r="C305" t="n">
        <v>0</v>
      </c>
      <c r="D305" t="n">
        <v>2093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M305" t="n">
        <v>1</v>
      </c>
    </row>
    <row r="306">
      <c r="A306" t="inlineStr">
        <is>
          <t>NEILLY'S FOODS</t>
        </is>
      </c>
      <c r="B306" t="n">
        <v>5945.469999999999</v>
      </c>
      <c r="C306" t="n">
        <v>0</v>
      </c>
      <c r="D306" t="n">
        <v>1410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M306" t="n">
        <v>1</v>
      </c>
    </row>
    <row r="307">
      <c r="A307" t="inlineStr">
        <is>
          <t>NISSIN</t>
        </is>
      </c>
      <c r="B307" t="n">
        <v>1255.2</v>
      </c>
      <c r="C307" t="n">
        <v>0</v>
      </c>
      <c r="D307" t="n">
        <v>80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M307" t="n">
        <v>1</v>
      </c>
    </row>
    <row r="308">
      <c r="A308" t="inlineStr">
        <is>
          <t>NISSIN HOT &amp; SPICY FIRE WOK</t>
        </is>
      </c>
      <c r="B308" t="n">
        <v>9.24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M308" t="n">
        <v>1</v>
      </c>
    </row>
    <row r="309">
      <c r="A309" t="inlineStr">
        <is>
          <t>NOBRAND</t>
        </is>
      </c>
      <c r="B309" t="n">
        <v>226.17</v>
      </c>
      <c r="C309" t="n">
        <v>0</v>
      </c>
      <c r="D309" t="n">
        <v>45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K309" t="n">
        <v>1</v>
      </c>
      <c r="M309" t="n">
        <v>1</v>
      </c>
    </row>
    <row r="310">
      <c r="A310" t="inlineStr">
        <is>
          <t>NONGSHIM</t>
        </is>
      </c>
      <c r="B310" t="n">
        <v>359796.54</v>
      </c>
      <c r="C310" t="n">
        <v>4104.589997302</v>
      </c>
      <c r="D310" t="n">
        <v>37153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M310" t="n">
        <v>0</v>
      </c>
    </row>
    <row r="311">
      <c r="A311" t="inlineStr">
        <is>
          <t>NU-MEAT</t>
        </is>
      </c>
      <c r="B311" t="n">
        <v>487129.58</v>
      </c>
      <c r="C311" t="n">
        <v>0</v>
      </c>
      <c r="D311" t="n">
        <v>137040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M311" t="n">
        <v>1</v>
      </c>
    </row>
    <row r="312">
      <c r="A312" t="inlineStr">
        <is>
          <t>NUMAR</t>
        </is>
      </c>
      <c r="B312" t="n">
        <v>789658.7000000001</v>
      </c>
      <c r="C312" t="n">
        <v>0</v>
      </c>
      <c r="D312" t="n">
        <v>685300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M312" t="n">
        <v>1</v>
      </c>
    </row>
    <row r="313">
      <c r="A313" t="inlineStr">
        <is>
          <t>NUTRISYSTEM</t>
        </is>
      </c>
      <c r="B313" t="n">
        <v>550417.8599999999</v>
      </c>
      <c r="C313" t="n">
        <v>12447.593798771</v>
      </c>
      <c r="D313" t="n">
        <v>9117</v>
      </c>
      <c r="E313" t="n">
        <v>0</v>
      </c>
      <c r="F313" t="n">
        <v>0</v>
      </c>
      <c r="G313" t="n">
        <v>0</v>
      </c>
      <c r="H313" t="n">
        <v>0</v>
      </c>
      <c r="I313" t="n">
        <v>0.1</v>
      </c>
      <c r="M313" t="n">
        <v>0</v>
      </c>
    </row>
    <row r="314">
      <c r="A314" t="inlineStr">
        <is>
          <t>OCEAN PRINCE</t>
        </is>
      </c>
      <c r="B314" t="n">
        <v>7.390000000000001</v>
      </c>
      <c r="C314" t="n">
        <v>0</v>
      </c>
      <c r="D314" t="n">
        <v>7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M314" t="n">
        <v>1</v>
      </c>
    </row>
    <row r="315">
      <c r="A315" t="inlineStr">
        <is>
          <t>OCEAN'S</t>
        </is>
      </c>
      <c r="B315" t="n">
        <v>518170.44</v>
      </c>
      <c r="C315" t="n">
        <v>16740.860001012</v>
      </c>
      <c r="D315" t="n">
        <v>276995</v>
      </c>
      <c r="E315" t="n">
        <v>0</v>
      </c>
      <c r="F315" t="n">
        <v>0</v>
      </c>
      <c r="G315" t="n">
        <v>0</v>
      </c>
      <c r="H315" t="n">
        <v>0</v>
      </c>
      <c r="I315" t="n">
        <v>0.1</v>
      </c>
      <c r="M315" t="n">
        <v>0</v>
      </c>
    </row>
    <row r="316">
      <c r="A316" t="inlineStr">
        <is>
          <t>OCEAN'S WILD</t>
        </is>
      </c>
      <c r="B316" t="n">
        <v>0</v>
      </c>
      <c r="C316" t="n">
        <v>188.539998666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M316" t="n">
        <v>1</v>
      </c>
    </row>
    <row r="317">
      <c r="A317" t="inlineStr">
        <is>
          <t>OLD HACIENDA</t>
        </is>
      </c>
      <c r="B317" t="n">
        <v>8629.120000000001</v>
      </c>
      <c r="C317" t="n">
        <v>0</v>
      </c>
      <c r="D317" t="n">
        <v>1489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M317" t="n">
        <v>1</v>
      </c>
    </row>
    <row r="318">
      <c r="A318" t="inlineStr">
        <is>
          <t>ONBOARD</t>
        </is>
      </c>
      <c r="B318" t="n">
        <v>169556.57</v>
      </c>
      <c r="C318" t="n">
        <v>14524.860007374</v>
      </c>
      <c r="D318" t="n">
        <v>30125</v>
      </c>
      <c r="E318" t="n">
        <v>0</v>
      </c>
      <c r="F318" t="n">
        <v>0</v>
      </c>
      <c r="G318" t="n">
        <v>0</v>
      </c>
      <c r="H318" t="n">
        <v>0</v>
      </c>
      <c r="I318" t="n">
        <v>0.1</v>
      </c>
      <c r="M318" t="n">
        <v>0</v>
      </c>
    </row>
    <row r="319">
      <c r="A319" t="inlineStr">
        <is>
          <t>ONLINE</t>
        </is>
      </c>
      <c r="B319" t="n">
        <v>11684.87</v>
      </c>
      <c r="C319" t="n">
        <v>0</v>
      </c>
      <c r="D319" t="n">
        <v>2474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K319" t="n">
        <v>1</v>
      </c>
      <c r="M319" t="n">
        <v>1</v>
      </c>
    </row>
    <row r="320">
      <c r="A320" t="inlineStr">
        <is>
          <t>ORLEANS FOODS</t>
        </is>
      </c>
      <c r="B320" t="n">
        <v>969.8000000000001</v>
      </c>
      <c r="C320" t="n">
        <v>0</v>
      </c>
      <c r="D320" t="n">
        <v>797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M320" t="n">
        <v>1</v>
      </c>
    </row>
    <row r="321">
      <c r="A321" t="inlineStr">
        <is>
          <t>ORTEGA</t>
        </is>
      </c>
      <c r="B321" t="n">
        <v>21881.18</v>
      </c>
      <c r="C321" t="n">
        <v>69.80000104699999</v>
      </c>
      <c r="D321" t="n">
        <v>11090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M321" t="n">
        <v>0</v>
      </c>
    </row>
    <row r="322">
      <c r="A322" t="inlineStr">
        <is>
          <t>ORTIZ</t>
        </is>
      </c>
      <c r="B322" t="n">
        <v>-14</v>
      </c>
      <c r="C322" t="n">
        <v>0</v>
      </c>
      <c r="D322" t="n">
        <v>-1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M322" t="n">
        <v>1</v>
      </c>
    </row>
    <row r="323">
      <c r="A323" t="inlineStr">
        <is>
          <t>OX &amp; PALM</t>
        </is>
      </c>
      <c r="B323" t="n">
        <v>807886.9399999951</v>
      </c>
      <c r="C323" t="n">
        <v>7786.419983972998</v>
      </c>
      <c r="D323" t="n">
        <v>131731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M323" t="n">
        <v>0</v>
      </c>
    </row>
    <row r="324">
      <c r="A324" t="inlineStr">
        <is>
          <t>PACIFIC FOODS</t>
        </is>
      </c>
      <c r="B324" t="n">
        <v>3585591.79</v>
      </c>
      <c r="C324" t="n">
        <v>6844.037757696</v>
      </c>
      <c r="D324" t="n">
        <v>1169544</v>
      </c>
      <c r="E324" t="n">
        <v>0</v>
      </c>
      <c r="F324" t="n">
        <v>0</v>
      </c>
      <c r="G324" t="n">
        <v>0.1</v>
      </c>
      <c r="H324" t="n">
        <v>0.1</v>
      </c>
      <c r="I324" t="n">
        <v>0</v>
      </c>
      <c r="M324" t="n">
        <v>0</v>
      </c>
    </row>
    <row r="325">
      <c r="A325" t="inlineStr">
        <is>
          <t>PACIFIC PEARL</t>
        </is>
      </c>
      <c r="B325" t="n">
        <v>77523.64999999999</v>
      </c>
      <c r="C325" t="n">
        <v>9.749999881999999</v>
      </c>
      <c r="D325" t="n">
        <v>39623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M325" t="n">
        <v>0</v>
      </c>
    </row>
    <row r="326">
      <c r="A326" t="inlineStr">
        <is>
          <t>PALACIO DE ORIENTE</t>
        </is>
      </c>
      <c r="B326" t="n">
        <v>2046.32</v>
      </c>
      <c r="C326" t="n">
        <v>0</v>
      </c>
      <c r="D326" t="n">
        <v>442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M326" t="n">
        <v>1</v>
      </c>
    </row>
    <row r="327">
      <c r="A327" t="inlineStr">
        <is>
          <t>PALIRRIA</t>
        </is>
      </c>
      <c r="B327" t="n">
        <v>2.98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M327" t="n">
        <v>1</v>
      </c>
    </row>
    <row r="328">
      <c r="A328" t="inlineStr">
        <is>
          <t>PAMPA</t>
        </is>
      </c>
      <c r="B328" t="n">
        <v>6983904.309999998</v>
      </c>
      <c r="C328" t="n">
        <v>10630.080172207</v>
      </c>
      <c r="D328" t="n">
        <v>2572801</v>
      </c>
      <c r="E328" t="n">
        <v>0</v>
      </c>
      <c r="F328" t="n">
        <v>0</v>
      </c>
      <c r="G328" t="n">
        <v>0.1</v>
      </c>
      <c r="H328" t="n">
        <v>0.1</v>
      </c>
      <c r="I328" t="n">
        <v>0.1</v>
      </c>
      <c r="M328" t="n">
        <v>0</v>
      </c>
    </row>
    <row r="329">
      <c r="A329" t="inlineStr">
        <is>
          <t>PAMPLONA</t>
        </is>
      </c>
      <c r="B329" t="n">
        <v>221604.5</v>
      </c>
      <c r="C329" t="n">
        <v>0</v>
      </c>
      <c r="D329" t="n">
        <v>139089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M329" t="n">
        <v>1</v>
      </c>
    </row>
    <row r="330">
      <c r="A330" t="inlineStr">
        <is>
          <t>PANAMEI SEAFOOD</t>
        </is>
      </c>
      <c r="B330" t="n">
        <v>518612.34</v>
      </c>
      <c r="C330" t="n">
        <v>0</v>
      </c>
      <c r="D330" t="n">
        <v>314410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M330" t="n">
        <v>1</v>
      </c>
    </row>
    <row r="331">
      <c r="A331" t="inlineStr">
        <is>
          <t>PANDA SIGNATURE</t>
        </is>
      </c>
      <c r="B331" t="n">
        <v>838.4399999999999</v>
      </c>
      <c r="C331" t="n">
        <v>0</v>
      </c>
      <c r="D331" t="n">
        <v>865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M331" t="n">
        <v>1</v>
      </c>
    </row>
    <row r="332">
      <c r="A332" t="inlineStr">
        <is>
          <t>PAPA TOM</t>
        </is>
      </c>
      <c r="B332" t="n">
        <v>1176.59</v>
      </c>
      <c r="C332" t="n">
        <v>0</v>
      </c>
      <c r="D332" t="n">
        <v>341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M332" t="n">
        <v>1</v>
      </c>
    </row>
    <row r="333">
      <c r="A333" t="inlineStr">
        <is>
          <t>PASSAGE FOODS</t>
        </is>
      </c>
      <c r="B333" t="n">
        <v>1782.36</v>
      </c>
      <c r="C333" t="n">
        <v>0</v>
      </c>
      <c r="D333" t="n">
        <v>720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M333" t="n">
        <v>1</v>
      </c>
    </row>
    <row r="334">
      <c r="A334" t="inlineStr">
        <is>
          <t>PASSAGE TO ASIA</t>
        </is>
      </c>
      <c r="B334" t="n">
        <v>0</v>
      </c>
      <c r="C334" t="n">
        <v>77.35999992899998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M334" t="n">
        <v>1</v>
      </c>
    </row>
    <row r="335">
      <c r="A335" t="inlineStr">
        <is>
          <t>PASSPORT CUISINE</t>
        </is>
      </c>
      <c r="B335" t="n">
        <v>13.98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M335" t="n">
        <v>1</v>
      </c>
    </row>
    <row r="336">
      <c r="A336" t="inlineStr">
        <is>
          <t>PATEL</t>
        </is>
      </c>
      <c r="B336" t="n">
        <v>6446.21</v>
      </c>
      <c r="C336" t="n">
        <v>0</v>
      </c>
      <c r="D336" t="n">
        <v>209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M336" t="n">
        <v>1</v>
      </c>
    </row>
    <row r="337">
      <c r="A337" t="inlineStr">
        <is>
          <t>PATEL'S</t>
        </is>
      </c>
      <c r="B337" t="n">
        <v>645.26</v>
      </c>
      <c r="C337" t="n">
        <v>0</v>
      </c>
      <c r="D337" t="n">
        <v>19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M337" t="n">
        <v>1</v>
      </c>
    </row>
    <row r="338">
      <c r="A338" t="inlineStr">
        <is>
          <t>PATTERSON'S</t>
        </is>
      </c>
      <c r="B338" t="n">
        <v>1809113.94</v>
      </c>
      <c r="C338" t="n">
        <v>7222.100187410999</v>
      </c>
      <c r="D338" t="n">
        <v>201189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M338" t="n">
        <v>0</v>
      </c>
    </row>
    <row r="339">
      <c r="A339" t="inlineStr">
        <is>
          <t>PEPPERIDGE FARM</t>
        </is>
      </c>
      <c r="B339" t="n">
        <v>7.74</v>
      </c>
      <c r="C339" t="n">
        <v>0</v>
      </c>
      <c r="D339" t="n">
        <v>7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L339" t="n">
        <v>2</v>
      </c>
      <c r="M339" t="n">
        <v>0</v>
      </c>
    </row>
    <row r="340">
      <c r="A340" t="inlineStr">
        <is>
          <t>PHILADELPHIA</t>
        </is>
      </c>
      <c r="B340" t="n">
        <v>2588.97</v>
      </c>
      <c r="C340" t="n">
        <v>0</v>
      </c>
      <c r="D340" t="n">
        <v>371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M340" t="n">
        <v>1</v>
      </c>
    </row>
    <row r="341">
      <c r="A341" t="inlineStr">
        <is>
          <t>PICNIC</t>
        </is>
      </c>
      <c r="B341" t="n">
        <v>566617.74</v>
      </c>
      <c r="C341" t="n">
        <v>0</v>
      </c>
      <c r="D341" t="n">
        <v>537201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M341" t="n">
        <v>1</v>
      </c>
    </row>
    <row r="342">
      <c r="A342" t="inlineStr">
        <is>
          <t>PILLAR ROCK</t>
        </is>
      </c>
      <c r="B342" t="n">
        <v>5909.090000000001</v>
      </c>
      <c r="C342" t="n">
        <v>0</v>
      </c>
      <c r="D342" t="n">
        <v>51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M342" t="n">
        <v>1</v>
      </c>
    </row>
    <row r="343">
      <c r="A343" t="inlineStr">
        <is>
          <t>PINNACLE</t>
        </is>
      </c>
      <c r="B343" t="n">
        <v>5776940.42</v>
      </c>
      <c r="C343" t="n">
        <v>0</v>
      </c>
      <c r="D343" t="n">
        <v>1463846</v>
      </c>
      <c r="E343" t="n">
        <v>1</v>
      </c>
      <c r="F343" t="n">
        <v>0</v>
      </c>
      <c r="G343" t="n">
        <v>0.1</v>
      </c>
      <c r="H343" t="n">
        <v>0.1</v>
      </c>
      <c r="I343" t="n">
        <v>0</v>
      </c>
      <c r="M343" t="n">
        <v>1</v>
      </c>
    </row>
    <row r="344">
      <c r="A344" t="inlineStr">
        <is>
          <t>PINTON</t>
        </is>
      </c>
      <c r="B344" t="n">
        <v>258.26</v>
      </c>
      <c r="C344" t="n">
        <v>0</v>
      </c>
      <c r="D344" t="n">
        <v>37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M344" t="n">
        <v>1</v>
      </c>
    </row>
    <row r="345">
      <c r="A345" t="inlineStr">
        <is>
          <t>PLANTSTRONG</t>
        </is>
      </c>
      <c r="B345" t="n">
        <v>5977.39</v>
      </c>
      <c r="C345" t="n">
        <v>199.8800020960001</v>
      </c>
      <c r="D345" t="n">
        <v>1112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M345" t="n">
        <v>0</v>
      </c>
    </row>
    <row r="346">
      <c r="A346" t="inlineStr">
        <is>
          <t>PODRAVKA</t>
        </is>
      </c>
      <c r="B346" t="n">
        <v>2574.49</v>
      </c>
      <c r="C346" t="n">
        <v>0</v>
      </c>
      <c r="D346" t="n">
        <v>611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M346" t="n">
        <v>1</v>
      </c>
    </row>
    <row r="347">
      <c r="A347" t="inlineStr">
        <is>
          <t>POLAR</t>
        </is>
      </c>
      <c r="B347" t="n">
        <v>14282156.845</v>
      </c>
      <c r="C347" t="n">
        <v>61685.94488000701</v>
      </c>
      <c r="D347" t="n">
        <v>4875319</v>
      </c>
      <c r="E347" t="n">
        <v>0</v>
      </c>
      <c r="F347" t="n">
        <v>0</v>
      </c>
      <c r="G347" t="n">
        <v>0.3</v>
      </c>
      <c r="H347" t="n">
        <v>0.2</v>
      </c>
      <c r="I347" t="n">
        <v>0.3</v>
      </c>
      <c r="M347" t="n">
        <v>0</v>
      </c>
    </row>
    <row r="348">
      <c r="A348" t="inlineStr">
        <is>
          <t>PORTOFINO</t>
        </is>
      </c>
      <c r="B348" t="n">
        <v>104.82</v>
      </c>
      <c r="C348" t="n">
        <v>0</v>
      </c>
      <c r="D348" t="n">
        <v>64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M348" t="n">
        <v>1</v>
      </c>
    </row>
    <row r="349">
      <c r="A349" t="inlineStr">
        <is>
          <t>PRAIRIE BELT</t>
        </is>
      </c>
      <c r="B349" t="n">
        <v>4406975.17</v>
      </c>
      <c r="C349" t="n">
        <v>0</v>
      </c>
      <c r="D349" t="n">
        <v>3038613</v>
      </c>
      <c r="E349" t="n">
        <v>1</v>
      </c>
      <c r="F349" t="n">
        <v>0</v>
      </c>
      <c r="G349" t="n">
        <v>0.1</v>
      </c>
      <c r="H349" t="n">
        <v>0.1</v>
      </c>
      <c r="I349" t="n">
        <v>0</v>
      </c>
      <c r="M349" t="n">
        <v>1</v>
      </c>
    </row>
    <row r="350">
      <c r="A350" t="inlineStr">
        <is>
          <t>PREP CHEF</t>
        </is>
      </c>
      <c r="B350" t="n">
        <v>1117745.19</v>
      </c>
      <c r="C350" t="n">
        <v>0</v>
      </c>
      <c r="D350" t="n">
        <v>129125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M350" t="n">
        <v>1</v>
      </c>
    </row>
    <row r="351">
      <c r="A351" t="inlineStr">
        <is>
          <t>PRESTY FOODS</t>
        </is>
      </c>
      <c r="B351" t="n">
        <v>12184.27</v>
      </c>
      <c r="C351" t="n">
        <v>0</v>
      </c>
      <c r="D351" t="n">
        <v>6538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M351" t="n">
        <v>1</v>
      </c>
    </row>
    <row r="352">
      <c r="A352" t="inlineStr">
        <is>
          <t>PRIDE OF INDIA</t>
        </is>
      </c>
      <c r="B352" t="n">
        <v>169.6</v>
      </c>
      <c r="C352" t="n">
        <v>0</v>
      </c>
      <c r="D352" t="n">
        <v>14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M352" t="n">
        <v>1</v>
      </c>
    </row>
    <row r="353">
      <c r="A353" t="inlineStr">
        <is>
          <t>PROCESA</t>
        </is>
      </c>
      <c r="B353" t="n">
        <v>44.7</v>
      </c>
      <c r="C353" t="n">
        <v>0</v>
      </c>
      <c r="D353" t="n">
        <v>5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M353" t="n">
        <v>1</v>
      </c>
    </row>
    <row r="354">
      <c r="A354" t="inlineStr">
        <is>
          <t>PROPER GOOD</t>
        </is>
      </c>
      <c r="B354" t="n">
        <v>876332.62</v>
      </c>
      <c r="C354" t="n">
        <v>201365.688353311</v>
      </c>
      <c r="D354" t="n">
        <v>179092</v>
      </c>
      <c r="E354" t="n">
        <v>0</v>
      </c>
      <c r="F354" t="n">
        <v>0</v>
      </c>
      <c r="G354" t="n">
        <v>0</v>
      </c>
      <c r="H354" t="n">
        <v>0</v>
      </c>
      <c r="I354" t="n">
        <v>1.1</v>
      </c>
      <c r="M354" t="n">
        <v>0</v>
      </c>
    </row>
    <row r="355">
      <c r="A355" t="inlineStr">
        <is>
          <t>PUCK</t>
        </is>
      </c>
      <c r="B355" t="n">
        <v>219358.95</v>
      </c>
      <c r="C355" t="n">
        <v>0</v>
      </c>
      <c r="D355" t="n">
        <v>56724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M355" t="n">
        <v>1</v>
      </c>
    </row>
    <row r="356">
      <c r="A356" t="inlineStr">
        <is>
          <t>QUAKER</t>
        </is>
      </c>
      <c r="B356" t="n">
        <v>227350.39</v>
      </c>
      <c r="C356" t="n">
        <v>0</v>
      </c>
      <c r="D356" t="n">
        <v>152900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M356" t="n">
        <v>1</v>
      </c>
    </row>
    <row r="357">
      <c r="A357" t="inlineStr">
        <is>
          <t>RAGIN' CAJUN FIXINS</t>
        </is>
      </c>
      <c r="B357" t="n">
        <v>68177.02</v>
      </c>
      <c r="C357" t="n">
        <v>138.09999935</v>
      </c>
      <c r="D357" t="n">
        <v>19498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M357" t="n">
        <v>0</v>
      </c>
    </row>
    <row r="358">
      <c r="A358" t="inlineStr">
        <is>
          <t>RAGIN' CAJUN FIXIN’S</t>
        </is>
      </c>
      <c r="B358" t="n">
        <v>12315.19</v>
      </c>
      <c r="C358" t="n">
        <v>92.889999719</v>
      </c>
      <c r="D358" t="n">
        <v>3339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M358" t="n">
        <v>0</v>
      </c>
    </row>
    <row r="359">
      <c r="A359" t="inlineStr">
        <is>
          <t>RAGIN' CAJUN FOODS</t>
        </is>
      </c>
      <c r="B359" t="n">
        <v>128975.27</v>
      </c>
      <c r="C359" t="n">
        <v>1167.609998145</v>
      </c>
      <c r="D359" t="n">
        <v>36519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M359" t="n">
        <v>0</v>
      </c>
    </row>
    <row r="360">
      <c r="A360" t="inlineStr">
        <is>
          <t>RAINCOAST TRADING</t>
        </is>
      </c>
      <c r="B360" t="n">
        <v>49.53</v>
      </c>
      <c r="C360" t="n">
        <v>0</v>
      </c>
      <c r="D360" t="n">
        <v>25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M360" t="n">
        <v>1</v>
      </c>
    </row>
    <row r="361">
      <c r="A361" t="inlineStr">
        <is>
          <t>RAO'S HOMEMADE</t>
        </is>
      </c>
      <c r="B361" t="n">
        <v>195985.61</v>
      </c>
      <c r="C361" t="n">
        <v>0</v>
      </c>
      <c r="D361" t="n">
        <v>39613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M361" t="n">
        <v>1</v>
      </c>
    </row>
    <row r="362">
      <c r="A362" t="inlineStr">
        <is>
          <t>RAY'S</t>
        </is>
      </c>
      <c r="B362" t="n">
        <v>8.520000000000003</v>
      </c>
      <c r="C362" t="n">
        <v>0</v>
      </c>
      <c r="D362" t="n">
        <v>3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M362" t="n">
        <v>1</v>
      </c>
    </row>
    <row r="363">
      <c r="A363" t="inlineStr">
        <is>
          <t>REAL</t>
        </is>
      </c>
      <c r="B363" t="n">
        <v>19340.94</v>
      </c>
      <c r="C363" t="n">
        <v>0</v>
      </c>
      <c r="D363" t="n">
        <v>7197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M363" t="n">
        <v>1</v>
      </c>
    </row>
    <row r="364">
      <c r="A364" t="inlineStr">
        <is>
          <t>RED BARON</t>
        </is>
      </c>
      <c r="B364" t="n">
        <v>0</v>
      </c>
      <c r="C364" t="n">
        <v>1168.14070428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M364" t="n">
        <v>1</v>
      </c>
    </row>
    <row r="365">
      <c r="A365" t="inlineStr">
        <is>
          <t>RED GOLD</t>
        </is>
      </c>
      <c r="B365" t="n">
        <v>1294.81</v>
      </c>
      <c r="C365" t="n">
        <v>0</v>
      </c>
      <c r="D365" t="n">
        <v>99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M365" t="n">
        <v>1</v>
      </c>
    </row>
    <row r="366">
      <c r="A366" t="inlineStr">
        <is>
          <t>RED SMITH</t>
        </is>
      </c>
      <c r="B366" t="n">
        <v>217776.22</v>
      </c>
      <c r="C366" t="n">
        <v>0</v>
      </c>
      <c r="D366" t="n">
        <v>53589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M366" t="n">
        <v>1</v>
      </c>
    </row>
    <row r="367">
      <c r="A367" t="inlineStr">
        <is>
          <t>REDONDO'S</t>
        </is>
      </c>
      <c r="B367" t="n">
        <v>8501.76</v>
      </c>
      <c r="C367" t="n">
        <v>0</v>
      </c>
      <c r="D367" t="n">
        <v>2624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M367" t="n">
        <v>1</v>
      </c>
    </row>
    <row r="368">
      <c r="A368" t="inlineStr">
        <is>
          <t>REESE</t>
        </is>
      </c>
      <c r="B368" t="n">
        <v>3291814.16</v>
      </c>
      <c r="C368" t="n">
        <v>762.4599987860001</v>
      </c>
      <c r="D368" t="n">
        <v>1320855</v>
      </c>
      <c r="E368" t="n">
        <v>0</v>
      </c>
      <c r="F368" t="n">
        <v>0</v>
      </c>
      <c r="G368" t="n">
        <v>0.1</v>
      </c>
      <c r="H368" t="n">
        <v>0.1</v>
      </c>
      <c r="I368" t="n">
        <v>0</v>
      </c>
      <c r="M368" t="n">
        <v>0</v>
      </c>
    </row>
    <row r="369">
      <c r="A369" t="inlineStr">
        <is>
          <t>REESE FANCY</t>
        </is>
      </c>
      <c r="B369" t="n">
        <v>1064.47</v>
      </c>
      <c r="C369" t="n">
        <v>0</v>
      </c>
      <c r="D369" t="n">
        <v>20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M369" t="n">
        <v>1</v>
      </c>
    </row>
    <row r="370">
      <c r="A370" t="inlineStr">
        <is>
          <t>RESER'S FINE FOODS</t>
        </is>
      </c>
      <c r="B370" t="n">
        <v>136476.2</v>
      </c>
      <c r="C370" t="n">
        <v>0</v>
      </c>
      <c r="D370" t="n">
        <v>55884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M370" t="n">
        <v>1</v>
      </c>
    </row>
    <row r="371">
      <c r="A371" t="inlineStr">
        <is>
          <t>RICA SARDINES</t>
        </is>
      </c>
      <c r="B371" t="n">
        <v>27289.98</v>
      </c>
      <c r="C371" t="n">
        <v>0</v>
      </c>
      <c r="D371" t="n">
        <v>28134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M371" t="n">
        <v>1</v>
      </c>
    </row>
    <row r="372">
      <c r="A372" t="inlineStr">
        <is>
          <t>RICELAND</t>
        </is>
      </c>
      <c r="B372" t="n">
        <v>1.42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M372" t="n">
        <v>1</v>
      </c>
    </row>
    <row r="373">
      <c r="A373" t="inlineStr">
        <is>
          <t>RICO CHEF</t>
        </is>
      </c>
      <c r="B373" t="n">
        <v>2780.89</v>
      </c>
      <c r="C373" t="n">
        <v>0</v>
      </c>
      <c r="D373" t="n">
        <v>1462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M373" t="n">
        <v>1</v>
      </c>
    </row>
    <row r="374">
      <c r="A374" t="inlineStr">
        <is>
          <t>RIO MARE</t>
        </is>
      </c>
      <c r="B374" t="n">
        <v>53.2</v>
      </c>
      <c r="C374" t="n">
        <v>0</v>
      </c>
      <c r="D374" t="n">
        <v>5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M374" t="n">
        <v>1</v>
      </c>
    </row>
    <row r="375">
      <c r="A375" t="inlineStr">
        <is>
          <t>ROCKYS</t>
        </is>
      </c>
      <c r="B375" t="n">
        <v>1530.62</v>
      </c>
      <c r="C375" t="n">
        <v>0</v>
      </c>
      <c r="D375" t="n">
        <v>373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M375" t="n">
        <v>1</v>
      </c>
    </row>
    <row r="376">
      <c r="A376" t="inlineStr">
        <is>
          <t>ROLAND</t>
        </is>
      </c>
      <c r="B376" t="n">
        <v>3031466.809999998</v>
      </c>
      <c r="C376" t="n">
        <v>0</v>
      </c>
      <c r="D376" t="n">
        <v>810774</v>
      </c>
      <c r="E376" t="n">
        <v>1</v>
      </c>
      <c r="F376" t="n">
        <v>0</v>
      </c>
      <c r="G376" t="n">
        <v>0.1</v>
      </c>
      <c r="H376" t="n">
        <v>0</v>
      </c>
      <c r="I376" t="n">
        <v>0</v>
      </c>
      <c r="M376" t="n">
        <v>1</v>
      </c>
    </row>
    <row r="377">
      <c r="A377" t="inlineStr">
        <is>
          <t>ROLAND FOODS</t>
        </is>
      </c>
      <c r="B377" t="n">
        <v>35830.89</v>
      </c>
      <c r="C377" t="n">
        <v>0</v>
      </c>
      <c r="D377" t="n">
        <v>9557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M377" t="n">
        <v>1</v>
      </c>
    </row>
    <row r="378">
      <c r="A378" t="inlineStr">
        <is>
          <t>ROLLINGREENS</t>
        </is>
      </c>
      <c r="B378" t="n">
        <v>1811712</v>
      </c>
      <c r="C378" t="n">
        <v>29013.44007395699</v>
      </c>
      <c r="D378" t="n">
        <v>294367</v>
      </c>
      <c r="E378" t="n">
        <v>0</v>
      </c>
      <c r="F378" t="n">
        <v>0</v>
      </c>
      <c r="G378" t="n">
        <v>0</v>
      </c>
      <c r="H378" t="n">
        <v>0</v>
      </c>
      <c r="I378" t="n">
        <v>0.2</v>
      </c>
      <c r="M378" t="n">
        <v>0</v>
      </c>
    </row>
    <row r="379">
      <c r="A379" t="inlineStr">
        <is>
          <t>ROOTS</t>
        </is>
      </c>
      <c r="B379" t="n">
        <v>45342.48</v>
      </c>
      <c r="C379" t="n">
        <v>0</v>
      </c>
      <c r="D379" t="n">
        <v>4736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M379" t="n">
        <v>1</v>
      </c>
    </row>
    <row r="380">
      <c r="A380" t="inlineStr">
        <is>
          <t>ROSA</t>
        </is>
      </c>
      <c r="B380" t="n">
        <v>2804.56</v>
      </c>
      <c r="C380" t="n">
        <v>0</v>
      </c>
      <c r="D380" t="n">
        <v>1043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M380" t="n">
        <v>1</v>
      </c>
    </row>
    <row r="381">
      <c r="A381" t="inlineStr">
        <is>
          <t>ROSE</t>
        </is>
      </c>
      <c r="B381" t="n">
        <v>813448.59</v>
      </c>
      <c r="C381" t="n">
        <v>0</v>
      </c>
      <c r="D381" t="n">
        <v>76572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M381" t="n">
        <v>1</v>
      </c>
    </row>
    <row r="382">
      <c r="A382" t="inlineStr">
        <is>
          <t>ROSIES</t>
        </is>
      </c>
      <c r="B382" t="n">
        <v>2286.4</v>
      </c>
      <c r="C382" t="n">
        <v>0</v>
      </c>
      <c r="D382" t="n">
        <v>577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M382" t="n">
        <v>1</v>
      </c>
    </row>
    <row r="383">
      <c r="A383" t="inlineStr">
        <is>
          <t>ROSIE’S</t>
        </is>
      </c>
      <c r="B383" t="n">
        <v>257.04</v>
      </c>
      <c r="C383" t="n">
        <v>0</v>
      </c>
      <c r="D383" t="n">
        <v>63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M383" t="n">
        <v>1</v>
      </c>
    </row>
    <row r="384">
      <c r="A384" t="inlineStr">
        <is>
          <t>ROYAL</t>
        </is>
      </c>
      <c r="B384" t="n">
        <v>31731.97</v>
      </c>
      <c r="C384" t="n">
        <v>0</v>
      </c>
      <c r="D384" t="n">
        <v>8741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M384" t="n">
        <v>1</v>
      </c>
    </row>
    <row r="385">
      <c r="A385" t="inlineStr">
        <is>
          <t>ROYAL CROWN</t>
        </is>
      </c>
      <c r="B385" t="n">
        <v>34.76</v>
      </c>
      <c r="C385" t="n">
        <v>0</v>
      </c>
      <c r="D385" t="n">
        <v>22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M385" t="n">
        <v>1</v>
      </c>
    </row>
    <row r="386">
      <c r="A386" t="inlineStr">
        <is>
          <t>ROYAL INTIMACY</t>
        </is>
      </c>
      <c r="B386" t="n">
        <v>8232.43</v>
      </c>
      <c r="C386" t="n">
        <v>0</v>
      </c>
      <c r="D386" t="n">
        <v>2320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M386" t="n">
        <v>1</v>
      </c>
    </row>
    <row r="387">
      <c r="A387" t="inlineStr">
        <is>
          <t>ROYAL RED</t>
        </is>
      </c>
      <c r="B387" t="n">
        <v>21.72</v>
      </c>
      <c r="C387" t="n">
        <v>0</v>
      </c>
      <c r="D387" t="n">
        <v>3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M387" t="n">
        <v>1</v>
      </c>
    </row>
    <row r="388">
      <c r="A388" t="inlineStr">
        <is>
          <t>RUGEN FISCH</t>
        </is>
      </c>
      <c r="B388" t="n">
        <v>12080.84</v>
      </c>
      <c r="C388" t="n">
        <v>0</v>
      </c>
      <c r="D388" t="n">
        <v>4244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M388" t="n">
        <v>1</v>
      </c>
    </row>
    <row r="389">
      <c r="A389" t="inlineStr">
        <is>
          <t>SADAF</t>
        </is>
      </c>
      <c r="B389" t="n">
        <v>4962.52</v>
      </c>
      <c r="C389" t="n">
        <v>0</v>
      </c>
      <c r="D389" t="n">
        <v>1279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M389" t="n">
        <v>1</v>
      </c>
    </row>
    <row r="390">
      <c r="A390" t="inlineStr">
        <is>
          <t>SAFE CATCH</t>
        </is>
      </c>
      <c r="B390" t="n">
        <v>7063851.770000003</v>
      </c>
      <c r="C390" t="n">
        <v>173775.26269424</v>
      </c>
      <c r="D390" t="n">
        <v>2450339</v>
      </c>
      <c r="E390" t="n">
        <v>0</v>
      </c>
      <c r="F390" t="n">
        <v>0</v>
      </c>
      <c r="G390" t="n">
        <v>0.1</v>
      </c>
      <c r="H390" t="n">
        <v>0.1</v>
      </c>
      <c r="I390" t="n">
        <v>0.9</v>
      </c>
      <c r="M390" t="n">
        <v>0</v>
      </c>
    </row>
    <row r="391">
      <c r="A391" t="inlineStr">
        <is>
          <t>SALBA CHIA</t>
        </is>
      </c>
      <c r="B391" t="n">
        <v>0</v>
      </c>
      <c r="C391" t="n">
        <v>29504.84688518001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0.2</v>
      </c>
      <c r="M391" t="n">
        <v>1</v>
      </c>
    </row>
    <row r="392">
      <c r="A392" t="inlineStr">
        <is>
          <t>SAM'S CHOICE</t>
        </is>
      </c>
      <c r="B392" t="n">
        <v>1969.05</v>
      </c>
      <c r="C392" t="n">
        <v>0</v>
      </c>
      <c r="D392" t="n">
        <v>1211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M392" t="n">
        <v>1</v>
      </c>
    </row>
    <row r="393">
      <c r="A393" t="inlineStr">
        <is>
          <t>SAMYANG</t>
        </is>
      </c>
      <c r="B393" t="n">
        <v>17580.53</v>
      </c>
      <c r="C393" t="n">
        <v>0</v>
      </c>
      <c r="D393" t="n">
        <v>1069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M393" t="n">
        <v>1</v>
      </c>
    </row>
    <row r="394">
      <c r="A394" t="inlineStr">
        <is>
          <t>SAN MIG</t>
        </is>
      </c>
      <c r="B394" t="n">
        <v>14917.8</v>
      </c>
      <c r="C394" t="n">
        <v>0</v>
      </c>
      <c r="D394" t="n">
        <v>2757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M394" t="n">
        <v>1</v>
      </c>
    </row>
    <row r="395">
      <c r="A395" t="inlineStr">
        <is>
          <t>SAN MIGUEL</t>
        </is>
      </c>
      <c r="B395" t="n">
        <v>5.52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M395" t="n">
        <v>1</v>
      </c>
    </row>
    <row r="396">
      <c r="A396" t="inlineStr">
        <is>
          <t>SANTA BREMOR</t>
        </is>
      </c>
      <c r="B396" t="n">
        <v>-813.12</v>
      </c>
      <c r="C396" t="n">
        <v>0</v>
      </c>
      <c r="D396" t="n">
        <v>-65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M396" t="n">
        <v>1</v>
      </c>
    </row>
    <row r="397">
      <c r="A397" t="inlineStr">
        <is>
          <t>SAUCY LIPS</t>
        </is>
      </c>
      <c r="B397" t="n">
        <v>33250.45</v>
      </c>
      <c r="C397" t="n">
        <v>0</v>
      </c>
      <c r="D397" t="n">
        <v>5628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M397" t="n">
        <v>1</v>
      </c>
    </row>
    <row r="398">
      <c r="A398" t="inlineStr">
        <is>
          <t>SCHAR</t>
        </is>
      </c>
      <c r="B398" t="n">
        <v>3.08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M398" t="n">
        <v>1</v>
      </c>
    </row>
    <row r="399">
      <c r="A399" t="inlineStr">
        <is>
          <t>SCHWEIGERT</t>
        </is>
      </c>
      <c r="B399" t="n">
        <v>3499.2</v>
      </c>
      <c r="C399" t="n">
        <v>0</v>
      </c>
      <c r="D399" t="n">
        <v>540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M399" t="n">
        <v>1</v>
      </c>
    </row>
    <row r="400">
      <c r="A400" t="inlineStr">
        <is>
          <t>SCOUT</t>
        </is>
      </c>
      <c r="B400" t="n">
        <v>645417.39</v>
      </c>
      <c r="C400" t="n">
        <v>32060.609979492</v>
      </c>
      <c r="D400" t="n">
        <v>185833</v>
      </c>
      <c r="E400" t="n">
        <v>0</v>
      </c>
      <c r="F400" t="n">
        <v>0</v>
      </c>
      <c r="G400" t="n">
        <v>0</v>
      </c>
      <c r="H400" t="n">
        <v>0</v>
      </c>
      <c r="I400" t="n">
        <v>0.2</v>
      </c>
      <c r="M400" t="n">
        <v>0</v>
      </c>
    </row>
    <row r="401">
      <c r="A401" t="inlineStr">
        <is>
          <t>SEA ALASKA</t>
        </is>
      </c>
      <c r="B401" t="n">
        <v>394951.72</v>
      </c>
      <c r="C401" t="n">
        <v>0</v>
      </c>
      <c r="D401" t="n">
        <v>84303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M401" t="n">
        <v>1</v>
      </c>
    </row>
    <row r="402">
      <c r="A402" t="inlineStr">
        <is>
          <t>SEA CASTLE</t>
        </is>
      </c>
      <c r="B402" t="n">
        <v>58349.03999999999</v>
      </c>
      <c r="C402" t="n">
        <v>0</v>
      </c>
      <c r="D402" t="n">
        <v>33691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M402" t="n">
        <v>1</v>
      </c>
    </row>
    <row r="403">
      <c r="A403" t="inlineStr">
        <is>
          <t>SEA TALES</t>
        </is>
      </c>
      <c r="B403" t="n">
        <v>1817619.08</v>
      </c>
      <c r="C403" t="n">
        <v>9449.420016273005</v>
      </c>
      <c r="D403" t="n">
        <v>439915</v>
      </c>
      <c r="E403" t="n">
        <v>0</v>
      </c>
      <c r="F403" t="n">
        <v>0</v>
      </c>
      <c r="G403" t="n">
        <v>0</v>
      </c>
      <c r="H403" t="n">
        <v>0</v>
      </c>
      <c r="I403" t="n">
        <v>0.1</v>
      </c>
      <c r="M403" t="n">
        <v>0</v>
      </c>
    </row>
    <row r="404">
      <c r="A404" t="inlineStr">
        <is>
          <t>SEASON</t>
        </is>
      </c>
      <c r="B404" t="n">
        <v>28415051.3655</v>
      </c>
      <c r="C404" t="n">
        <v>79486.21948632698</v>
      </c>
      <c r="D404" t="n">
        <v>11578993</v>
      </c>
      <c r="E404" t="n">
        <v>0</v>
      </c>
      <c r="F404" t="n">
        <v>0</v>
      </c>
      <c r="G404" t="n">
        <v>0.5</v>
      </c>
      <c r="H404" t="n">
        <v>0.5</v>
      </c>
      <c r="I404" t="n">
        <v>0.4</v>
      </c>
      <c r="M404" t="n">
        <v>0</v>
      </c>
    </row>
    <row r="405">
      <c r="A405" t="inlineStr">
        <is>
          <t>SEASON BRAND</t>
        </is>
      </c>
      <c r="B405" t="n">
        <v>2277830.29</v>
      </c>
      <c r="C405" t="n">
        <v>6723.459880988001</v>
      </c>
      <c r="D405" t="n">
        <v>779228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M405" t="n">
        <v>0</v>
      </c>
    </row>
    <row r="406">
      <c r="A406" t="inlineStr">
        <is>
          <t>SEASONS</t>
        </is>
      </c>
      <c r="B406" t="n">
        <v>2823.57</v>
      </c>
      <c r="C406" t="n">
        <v>0</v>
      </c>
      <c r="D406" t="n">
        <v>492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M406" t="n">
        <v>1</v>
      </c>
    </row>
    <row r="407">
      <c r="A407" t="inlineStr">
        <is>
          <t>SEEDS OF CHANGE</t>
        </is>
      </c>
      <c r="B407" t="n">
        <v>5260.77</v>
      </c>
      <c r="C407" t="n">
        <v>0</v>
      </c>
      <c r="D407" t="n">
        <v>139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M407" t="n">
        <v>1</v>
      </c>
    </row>
    <row r="408">
      <c r="A408" t="inlineStr">
        <is>
          <t>SHAHIA</t>
        </is>
      </c>
      <c r="B408" t="n">
        <v>26575.58</v>
      </c>
      <c r="C408" t="n">
        <v>0</v>
      </c>
      <c r="D408" t="n">
        <v>12964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M408" t="n">
        <v>1</v>
      </c>
    </row>
    <row r="409">
      <c r="A409" t="inlineStr">
        <is>
          <t>SHAN</t>
        </is>
      </c>
      <c r="B409" t="n">
        <v>-13.34</v>
      </c>
      <c r="C409" t="n">
        <v>0</v>
      </c>
      <c r="D409" t="n">
        <v>-2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K409" t="n">
        <v>1</v>
      </c>
      <c r="M409" t="n">
        <v>1</v>
      </c>
    </row>
    <row r="410">
      <c r="A410" t="inlineStr">
        <is>
          <t>SHORE LUNCH</t>
        </is>
      </c>
      <c r="B410" t="n">
        <v>2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M410" t="n">
        <v>1</v>
      </c>
    </row>
    <row r="411">
      <c r="A411" t="inlineStr">
        <is>
          <t>SIDEAWAY FOODS</t>
        </is>
      </c>
      <c r="B411" t="n">
        <v>83417.59</v>
      </c>
      <c r="C411" t="n">
        <v>0</v>
      </c>
      <c r="D411" t="n">
        <v>27158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M411" t="n">
        <v>1</v>
      </c>
    </row>
    <row r="412">
      <c r="A412" t="inlineStr">
        <is>
          <t>SIMPLE EATS</t>
        </is>
      </c>
      <c r="B412" t="n">
        <v>0.64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M412" t="n">
        <v>1</v>
      </c>
    </row>
    <row r="413">
      <c r="A413" t="inlineStr">
        <is>
          <t>SKYLINE</t>
        </is>
      </c>
      <c r="B413" t="n">
        <v>1490261.160000004</v>
      </c>
      <c r="C413" t="n">
        <v>0</v>
      </c>
      <c r="D413" t="n">
        <v>277102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M413" t="n">
        <v>1</v>
      </c>
    </row>
    <row r="414">
      <c r="A414" t="inlineStr">
        <is>
          <t>SKYLINE CHILI</t>
        </is>
      </c>
      <c r="B414" t="n">
        <v>13653347.85083334</v>
      </c>
      <c r="C414" t="n">
        <v>0</v>
      </c>
      <c r="D414" t="n">
        <v>2477819</v>
      </c>
      <c r="E414" t="n">
        <v>1</v>
      </c>
      <c r="F414" t="n">
        <v>0</v>
      </c>
      <c r="G414" t="n">
        <v>0.3</v>
      </c>
      <c r="H414" t="n">
        <v>0.1</v>
      </c>
      <c r="I414" t="n">
        <v>0</v>
      </c>
      <c r="M414" t="n">
        <v>1</v>
      </c>
    </row>
    <row r="415">
      <c r="A415" t="inlineStr">
        <is>
          <t>SLAP YA MAMA</t>
        </is>
      </c>
      <c r="B415" t="n">
        <v>8.359999999999999</v>
      </c>
      <c r="C415" t="n">
        <v>0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M415" t="n">
        <v>1</v>
      </c>
    </row>
    <row r="416">
      <c r="A416" t="inlineStr">
        <is>
          <t>SLOW KETTLE</t>
        </is>
      </c>
      <c r="B416" t="n">
        <v>34620.31</v>
      </c>
      <c r="C416" t="n">
        <v>0</v>
      </c>
      <c r="D416" t="n">
        <v>11111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M416" t="n">
        <v>1</v>
      </c>
    </row>
    <row r="417">
      <c r="A417" t="inlineStr">
        <is>
          <t>SMUCKER'S</t>
        </is>
      </c>
      <c r="B417" t="n">
        <v>17603.69</v>
      </c>
      <c r="C417" t="n">
        <v>0</v>
      </c>
      <c r="D417" t="n">
        <v>707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M417" t="n">
        <v>1</v>
      </c>
    </row>
    <row r="418">
      <c r="A418" t="inlineStr">
        <is>
          <t>SNOW'S</t>
        </is>
      </c>
      <c r="B418" t="n">
        <v>21054194.61657143</v>
      </c>
      <c r="C418" t="n">
        <v>9456.170105199999</v>
      </c>
      <c r="D418" t="n">
        <v>9387910</v>
      </c>
      <c r="E418" t="n">
        <v>0</v>
      </c>
      <c r="F418" t="n">
        <v>0</v>
      </c>
      <c r="G418" t="n">
        <v>0.4</v>
      </c>
      <c r="H418" t="n">
        <v>0.4</v>
      </c>
      <c r="I418" t="n">
        <v>0.1</v>
      </c>
      <c r="M418" t="n">
        <v>0</v>
      </c>
    </row>
    <row r="419">
      <c r="A419" t="inlineStr">
        <is>
          <t>SOL-MEX</t>
        </is>
      </c>
      <c r="B419" t="n">
        <v>2948566.829999999</v>
      </c>
      <c r="C419" t="n">
        <v>0</v>
      </c>
      <c r="D419" t="n">
        <v>1289377</v>
      </c>
      <c r="E419" t="n">
        <v>1</v>
      </c>
      <c r="F419" t="n">
        <v>0</v>
      </c>
      <c r="G419" t="n">
        <v>0.1</v>
      </c>
      <c r="H419" t="n">
        <v>0.1</v>
      </c>
      <c r="I419" t="n">
        <v>0</v>
      </c>
      <c r="M419" t="n">
        <v>1</v>
      </c>
    </row>
    <row r="420">
      <c r="A420" t="inlineStr">
        <is>
          <t>SOMOS</t>
        </is>
      </c>
      <c r="B420" t="n">
        <v>11074.94</v>
      </c>
      <c r="C420" t="n">
        <v>57.678275739</v>
      </c>
      <c r="D420" t="n">
        <v>2998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M420" t="n">
        <v>0</v>
      </c>
    </row>
    <row r="421">
      <c r="A421" t="inlineStr">
        <is>
          <t>SOUTHGATE</t>
        </is>
      </c>
      <c r="B421" t="n">
        <v>860119.0700000001</v>
      </c>
      <c r="C421" t="n">
        <v>0</v>
      </c>
      <c r="D421" t="n">
        <v>548832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M421" t="n">
        <v>1</v>
      </c>
    </row>
    <row r="422">
      <c r="A422" t="inlineStr">
        <is>
          <t>SPAGHETTIOS</t>
        </is>
      </c>
      <c r="B422" t="n">
        <v>2.46</v>
      </c>
      <c r="C422" t="n">
        <v>0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M422" t="n">
        <v>1</v>
      </c>
    </row>
    <row r="423">
      <c r="A423" t="inlineStr">
        <is>
          <t>SPAM</t>
        </is>
      </c>
      <c r="B423" t="n">
        <v>324115284.9400001</v>
      </c>
      <c r="C423" t="n">
        <v>3260437.846862782</v>
      </c>
      <c r="D423" t="n">
        <v>83907389.46000001</v>
      </c>
      <c r="E423" t="n">
        <v>0</v>
      </c>
      <c r="F423" t="n">
        <v>0</v>
      </c>
      <c r="G423" t="n">
        <v>6.2</v>
      </c>
      <c r="H423" t="n">
        <v>3.6</v>
      </c>
      <c r="I423" t="n">
        <v>17.7</v>
      </c>
      <c r="M423" t="n">
        <v>0</v>
      </c>
    </row>
    <row r="424">
      <c r="A424" t="inlineStr">
        <is>
          <t>SPICEWALLA</t>
        </is>
      </c>
      <c r="B424" t="n">
        <v>100258.69</v>
      </c>
      <c r="C424" t="n">
        <v>0</v>
      </c>
      <c r="D424" t="n">
        <v>61117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M424" t="n">
        <v>1</v>
      </c>
    </row>
    <row r="425">
      <c r="A425" t="inlineStr">
        <is>
          <t>SPRAGUE</t>
        </is>
      </c>
      <c r="B425" t="n">
        <v>699588.8100000001</v>
      </c>
      <c r="C425" t="n">
        <v>12204.580034021</v>
      </c>
      <c r="D425" t="n">
        <v>226575</v>
      </c>
      <c r="E425" t="n">
        <v>0</v>
      </c>
      <c r="F425" t="n">
        <v>0</v>
      </c>
      <c r="G425" t="n">
        <v>0</v>
      </c>
      <c r="H425" t="n">
        <v>0</v>
      </c>
      <c r="I425" t="n">
        <v>0.1</v>
      </c>
      <c r="M425" t="n">
        <v>0</v>
      </c>
    </row>
    <row r="426">
      <c r="A426" t="inlineStr">
        <is>
          <t>SPRAGUE FOODS</t>
        </is>
      </c>
      <c r="B426" t="n">
        <v>0</v>
      </c>
      <c r="C426" t="n">
        <v>33.139999834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M426" t="n">
        <v>1</v>
      </c>
    </row>
    <row r="427">
      <c r="A427" t="inlineStr">
        <is>
          <t>STAGG CHILI</t>
        </is>
      </c>
      <c r="B427" t="n">
        <v>20971354.93</v>
      </c>
      <c r="C427" t="n">
        <v>14570.400084722</v>
      </c>
      <c r="D427" t="n">
        <v>7971856</v>
      </c>
      <c r="E427" t="n">
        <v>0</v>
      </c>
      <c r="F427" t="n">
        <v>0</v>
      </c>
      <c r="G427" t="n">
        <v>0.4</v>
      </c>
      <c r="H427" t="n">
        <v>0.3</v>
      </c>
      <c r="I427" t="n">
        <v>0.1</v>
      </c>
      <c r="M427" t="n">
        <v>0</v>
      </c>
    </row>
    <row r="428">
      <c r="A428" t="inlineStr">
        <is>
          <t>STAR</t>
        </is>
      </c>
      <c r="B428" t="n">
        <v>738.9</v>
      </c>
      <c r="C428" t="n">
        <v>0</v>
      </c>
      <c r="D428" t="n">
        <v>512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M428" t="n">
        <v>1</v>
      </c>
    </row>
    <row r="429">
      <c r="A429" t="inlineStr">
        <is>
          <t>STARKIST</t>
        </is>
      </c>
      <c r="B429" t="n">
        <v>879441339.0308332</v>
      </c>
      <c r="C429" t="n">
        <v>2466576.897878835</v>
      </c>
      <c r="D429" t="n">
        <v>443249441.8</v>
      </c>
      <c r="E429" t="n">
        <v>0</v>
      </c>
      <c r="F429" t="n">
        <v>0</v>
      </c>
      <c r="G429" t="n">
        <v>16.8</v>
      </c>
      <c r="H429" t="n">
        <v>19.3</v>
      </c>
      <c r="I429" t="n">
        <v>13.4</v>
      </c>
      <c r="M429" t="n">
        <v>0</v>
      </c>
    </row>
    <row r="430">
      <c r="A430" t="inlineStr">
        <is>
          <t>STARKIST SELECTS</t>
        </is>
      </c>
      <c r="B430" t="n">
        <v>8687066.700000001</v>
      </c>
      <c r="C430" t="n">
        <v>1056.580014108</v>
      </c>
      <c r="D430" t="n">
        <v>4376477</v>
      </c>
      <c r="E430" t="n">
        <v>0</v>
      </c>
      <c r="F430" t="n">
        <v>0</v>
      </c>
      <c r="G430" t="n">
        <v>0.2</v>
      </c>
      <c r="H430" t="n">
        <v>0.2</v>
      </c>
      <c r="I430" t="n">
        <v>0</v>
      </c>
      <c r="M430" t="n">
        <v>0</v>
      </c>
    </row>
    <row r="431">
      <c r="A431" t="inlineStr">
        <is>
          <t>STARKIST®</t>
        </is>
      </c>
      <c r="B431" t="n">
        <v>19.18</v>
      </c>
      <c r="C431" t="n">
        <v>149.194820558</v>
      </c>
      <c r="D431" t="n">
        <v>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M431" t="n">
        <v>0</v>
      </c>
    </row>
    <row r="432">
      <c r="A432" t="inlineStr">
        <is>
          <t>STEAK 'N SHAKE</t>
        </is>
      </c>
      <c r="B432" t="n">
        <v>3183137.31</v>
      </c>
      <c r="C432" t="n">
        <v>0</v>
      </c>
      <c r="D432" t="n">
        <v>929688</v>
      </c>
      <c r="E432" t="n">
        <v>1</v>
      </c>
      <c r="F432" t="n">
        <v>0</v>
      </c>
      <c r="G432" t="n">
        <v>0.1</v>
      </c>
      <c r="H432" t="n">
        <v>0</v>
      </c>
      <c r="I432" t="n">
        <v>0</v>
      </c>
      <c r="M432" t="n">
        <v>1</v>
      </c>
    </row>
    <row r="433">
      <c r="A433" t="inlineStr">
        <is>
          <t>STONERIDGE RANCH</t>
        </is>
      </c>
      <c r="B433" t="n">
        <v>778198.9399999999</v>
      </c>
      <c r="C433" t="n">
        <v>0</v>
      </c>
      <c r="D433" t="n">
        <v>78155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M433" t="n">
        <v>1</v>
      </c>
    </row>
    <row r="434">
      <c r="A434" t="inlineStr">
        <is>
          <t>STONEWALL KITCHEN</t>
        </is>
      </c>
      <c r="B434" t="n">
        <v>0</v>
      </c>
      <c r="C434" t="n">
        <v>905.5280389960008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M434" t="n">
        <v>1</v>
      </c>
    </row>
    <row r="435">
      <c r="A435" t="inlineStr">
        <is>
          <t>STOUFFER'S</t>
        </is>
      </c>
      <c r="B435" t="n">
        <v>0</v>
      </c>
      <c r="C435" t="n">
        <v>11768.999986301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0.1</v>
      </c>
      <c r="M435" t="n">
        <v>1</v>
      </c>
    </row>
    <row r="436">
      <c r="A436" t="inlineStr">
        <is>
          <t>STRAIGHT FROM FRANCE</t>
        </is>
      </c>
      <c r="B436" t="n">
        <v>9044.190000000001</v>
      </c>
      <c r="C436" t="n">
        <v>0</v>
      </c>
      <c r="D436" t="n">
        <v>721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M436" t="n">
        <v>1</v>
      </c>
    </row>
    <row r="437">
      <c r="A437" t="inlineStr">
        <is>
          <t>STREIT</t>
        </is>
      </c>
      <c r="B437" t="n">
        <v>274.56</v>
      </c>
      <c r="C437" t="n">
        <v>0</v>
      </c>
      <c r="D437" t="n">
        <v>96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M437" t="n">
        <v>1</v>
      </c>
    </row>
    <row r="438">
      <c r="A438" t="inlineStr">
        <is>
          <t>SUBWAY</t>
        </is>
      </c>
      <c r="B438" t="n">
        <v>4996074.91</v>
      </c>
      <c r="C438" t="n">
        <v>26370.219824124</v>
      </c>
      <c r="D438" t="n">
        <v>1281937</v>
      </c>
      <c r="E438" t="n">
        <v>0</v>
      </c>
      <c r="F438" t="n">
        <v>0</v>
      </c>
      <c r="G438" t="n">
        <v>0.1</v>
      </c>
      <c r="H438" t="n">
        <v>0.1</v>
      </c>
      <c r="I438" t="n">
        <v>0.1</v>
      </c>
      <c r="M438" t="n">
        <v>0</v>
      </c>
    </row>
    <row r="439">
      <c r="A439" t="inlineStr">
        <is>
          <t>SUNNY SEA</t>
        </is>
      </c>
      <c r="B439" t="n">
        <v>26.81</v>
      </c>
      <c r="C439" t="n">
        <v>0</v>
      </c>
      <c r="D439" t="n">
        <v>14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M439" t="n">
        <v>1</v>
      </c>
    </row>
    <row r="440">
      <c r="A440" t="inlineStr">
        <is>
          <t>SUNSET FARM FOODS</t>
        </is>
      </c>
      <c r="B440" t="n">
        <v>3784.2</v>
      </c>
      <c r="C440" t="n">
        <v>0</v>
      </c>
      <c r="D440" t="n">
        <v>1060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M440" t="n">
        <v>1</v>
      </c>
    </row>
    <row r="441">
      <c r="A441" t="inlineStr">
        <is>
          <t>SUPER LUCKY ELEPHANT</t>
        </is>
      </c>
      <c r="B441" t="n">
        <v>2.18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M441" t="n">
        <v>1</v>
      </c>
    </row>
    <row r="442">
      <c r="A442" t="inlineStr">
        <is>
          <t>SWANSON</t>
        </is>
      </c>
      <c r="B442" t="n">
        <v>14139660.04</v>
      </c>
      <c r="C442" t="n">
        <v>72466.30130231901</v>
      </c>
      <c r="D442" t="n">
        <v>2989358</v>
      </c>
      <c r="E442" t="n">
        <v>0</v>
      </c>
      <c r="F442" t="n">
        <v>0</v>
      </c>
      <c r="G442" t="n">
        <v>0.3</v>
      </c>
      <c r="H442" t="n">
        <v>0.1</v>
      </c>
      <c r="I442" t="n">
        <v>0.4</v>
      </c>
      <c r="M442" t="n">
        <v>0</v>
      </c>
    </row>
    <row r="443">
      <c r="A443" t="inlineStr">
        <is>
          <t>SWANSON TOOL COMPANY</t>
        </is>
      </c>
      <c r="B443" t="n">
        <v>117997061.5191667</v>
      </c>
      <c r="C443" t="n">
        <v>929369.9198461781</v>
      </c>
      <c r="D443" t="n">
        <v>26930420</v>
      </c>
      <c r="E443" t="n">
        <v>0</v>
      </c>
      <c r="F443" t="n">
        <v>0</v>
      </c>
      <c r="G443" t="n">
        <v>2.3</v>
      </c>
      <c r="H443" t="n">
        <v>1.2</v>
      </c>
      <c r="I443" t="n">
        <v>5</v>
      </c>
      <c r="M443" t="n">
        <v>0</v>
      </c>
    </row>
    <row r="444">
      <c r="A444" t="inlineStr">
        <is>
          <t>SWEET BABY RAY'S</t>
        </is>
      </c>
      <c r="B444" t="n">
        <v>7.77</v>
      </c>
      <c r="C444" t="n">
        <v>0</v>
      </c>
      <c r="D444" t="n">
        <v>4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M444" t="n">
        <v>1</v>
      </c>
    </row>
    <row r="445">
      <c r="A445" t="inlineStr">
        <is>
          <t>SWEET SUE</t>
        </is>
      </c>
      <c r="B445" t="n">
        <v>3317769.985</v>
      </c>
      <c r="C445" t="n">
        <v>0</v>
      </c>
      <c r="D445" t="n">
        <v>884685</v>
      </c>
      <c r="E445" t="n">
        <v>1</v>
      </c>
      <c r="F445" t="n">
        <v>0</v>
      </c>
      <c r="G445" t="n">
        <v>0.1</v>
      </c>
      <c r="H445" t="n">
        <v>0</v>
      </c>
      <c r="I445" t="n">
        <v>0</v>
      </c>
      <c r="M445" t="n">
        <v>1</v>
      </c>
    </row>
    <row r="446">
      <c r="A446" t="inlineStr">
        <is>
          <t>T'AAMTI</t>
        </is>
      </c>
      <c r="B446" t="n">
        <v>582.24</v>
      </c>
      <c r="C446" t="n">
        <v>0</v>
      </c>
      <c r="D446" t="n">
        <v>120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M446" t="n">
        <v>1</v>
      </c>
    </row>
    <row r="447">
      <c r="A447" t="inlineStr">
        <is>
          <t>TACO BELL</t>
        </is>
      </c>
      <c r="B447" t="n">
        <v>22.5</v>
      </c>
      <c r="C447" t="n">
        <v>0</v>
      </c>
      <c r="D447" t="n">
        <v>7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M447" t="n">
        <v>1</v>
      </c>
    </row>
    <row r="448">
      <c r="A448" t="inlineStr">
        <is>
          <t>TAMALES</t>
        </is>
      </c>
      <c r="B448" t="n">
        <v>17.88</v>
      </c>
      <c r="C448" t="n">
        <v>0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M448" t="n">
        <v>1</v>
      </c>
    </row>
    <row r="449">
      <c r="A449" t="inlineStr">
        <is>
          <t>TAPATIO</t>
        </is>
      </c>
      <c r="B449" t="n">
        <v>113828.92</v>
      </c>
      <c r="C449" t="n">
        <v>0</v>
      </c>
      <c r="D449" t="n">
        <v>101910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M449" t="n">
        <v>1</v>
      </c>
    </row>
    <row r="450">
      <c r="A450" t="inlineStr">
        <is>
          <t>TASTE OF PORTUGAL</t>
        </is>
      </c>
      <c r="B450" t="n">
        <v>1276.14</v>
      </c>
      <c r="C450" t="n">
        <v>0</v>
      </c>
      <c r="D450" t="n">
        <v>670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M450" t="n">
        <v>1</v>
      </c>
    </row>
    <row r="451">
      <c r="A451" t="inlineStr">
        <is>
          <t>TASTEE CHOICE</t>
        </is>
      </c>
      <c r="B451" t="n">
        <v>37312.99</v>
      </c>
      <c r="C451" t="n">
        <v>0</v>
      </c>
      <c r="D451" t="n">
        <v>5094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M451" t="n">
        <v>1</v>
      </c>
    </row>
    <row r="452">
      <c r="A452" t="inlineStr">
        <is>
          <t>TASTY BITE</t>
        </is>
      </c>
      <c r="B452" t="n">
        <v>634729.34</v>
      </c>
      <c r="C452" t="n">
        <v>93232.34942782401</v>
      </c>
      <c r="D452" t="n">
        <v>177190</v>
      </c>
      <c r="E452" t="n">
        <v>0</v>
      </c>
      <c r="F452" t="n">
        <v>0</v>
      </c>
      <c r="G452" t="n">
        <v>0</v>
      </c>
      <c r="H452" t="n">
        <v>0</v>
      </c>
      <c r="I452" t="n">
        <v>0.5</v>
      </c>
      <c r="L452" t="n">
        <v>3</v>
      </c>
      <c r="M452" t="n">
        <v>0</v>
      </c>
    </row>
    <row r="453">
      <c r="A453" t="inlineStr">
        <is>
          <t>TATA RAASA</t>
        </is>
      </c>
      <c r="B453" t="n">
        <v>18143.63</v>
      </c>
      <c r="C453" t="n">
        <v>0</v>
      </c>
      <c r="D453" t="n">
        <v>5053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M453" t="n">
        <v>1</v>
      </c>
    </row>
    <row r="454">
      <c r="A454" t="inlineStr">
        <is>
          <t>TATER KEGS</t>
        </is>
      </c>
      <c r="B454" t="n">
        <v>6558641.41</v>
      </c>
      <c r="C454" t="n">
        <v>0</v>
      </c>
      <c r="D454" t="n">
        <v>2622339</v>
      </c>
      <c r="E454" t="n">
        <v>1</v>
      </c>
      <c r="F454" t="n">
        <v>0</v>
      </c>
      <c r="G454" t="n">
        <v>0.1</v>
      </c>
      <c r="H454" t="n">
        <v>0.1</v>
      </c>
      <c r="I454" t="n">
        <v>0</v>
      </c>
      <c r="M454" t="n">
        <v>1</v>
      </c>
    </row>
    <row r="455">
      <c r="A455" t="inlineStr">
        <is>
          <t>TAYLOR FARMS</t>
        </is>
      </c>
      <c r="B455" t="n">
        <v>3.38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M455" t="n">
        <v>1</v>
      </c>
    </row>
    <row r="456">
      <c r="A456" t="inlineStr">
        <is>
          <t>TERRA VERDA</t>
        </is>
      </c>
      <c r="B456" t="n">
        <v>12.41</v>
      </c>
      <c r="C456" t="n">
        <v>0</v>
      </c>
      <c r="D456" t="n">
        <v>6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M456" t="n">
        <v>1</v>
      </c>
    </row>
    <row r="457">
      <c r="A457" t="inlineStr">
        <is>
          <t>TETA FOODS</t>
        </is>
      </c>
      <c r="B457" t="n">
        <v>656.6</v>
      </c>
      <c r="C457" t="n">
        <v>0</v>
      </c>
      <c r="D457" t="n">
        <v>11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M457" t="n">
        <v>1</v>
      </c>
    </row>
    <row r="458">
      <c r="A458" t="inlineStr">
        <is>
          <t>TEXAS ROADHOUSE</t>
        </is>
      </c>
      <c r="B458" t="n">
        <v>1280708.32</v>
      </c>
      <c r="C458" t="n">
        <v>0</v>
      </c>
      <c r="D458" t="n">
        <v>367982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M458" t="n">
        <v>1</v>
      </c>
    </row>
    <row r="459">
      <c r="A459" t="inlineStr">
        <is>
          <t>TEXAS TAILGATE</t>
        </is>
      </c>
      <c r="B459" t="n">
        <v>1887990.27</v>
      </c>
      <c r="C459" t="n">
        <v>0</v>
      </c>
      <c r="D459" t="n">
        <v>1627825</v>
      </c>
      <c r="E459" t="n">
        <v>1</v>
      </c>
      <c r="F459" t="n">
        <v>0</v>
      </c>
      <c r="G459" t="n">
        <v>0</v>
      </c>
      <c r="H459" t="n">
        <v>0.1</v>
      </c>
      <c r="I459" t="n">
        <v>0</v>
      </c>
      <c r="M459" t="n">
        <v>1</v>
      </c>
    </row>
    <row r="460">
      <c r="A460" t="inlineStr">
        <is>
          <t>TEXAS TAMALE COMPANY</t>
        </is>
      </c>
      <c r="B460" t="n">
        <v>641288.12</v>
      </c>
      <c r="C460" t="n">
        <v>3638.360000267001</v>
      </c>
      <c r="D460" t="n">
        <v>75102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M460" t="n">
        <v>0</v>
      </c>
    </row>
    <row r="461">
      <c r="A461" t="inlineStr">
        <is>
          <t>THE AUTHENTIC NEW MEXICAN</t>
        </is>
      </c>
      <c r="B461" t="n">
        <v>1305.84</v>
      </c>
      <c r="C461" t="n">
        <v>0</v>
      </c>
      <c r="D461" t="n">
        <v>110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M461" t="n">
        <v>1</v>
      </c>
    </row>
    <row r="462">
      <c r="A462" t="inlineStr">
        <is>
          <t>THE GOOD BEAN</t>
        </is>
      </c>
      <c r="B462" t="n">
        <v>23.84</v>
      </c>
      <c r="C462" t="n">
        <v>0</v>
      </c>
      <c r="D462" t="n">
        <v>8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M462" t="n">
        <v>1</v>
      </c>
    </row>
    <row r="463">
      <c r="A463" t="inlineStr">
        <is>
          <t>TOMBSTONE</t>
        </is>
      </c>
      <c r="B463" t="n">
        <v>0.68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M463" t="n">
        <v>1</v>
      </c>
    </row>
    <row r="464">
      <c r="A464" t="inlineStr">
        <is>
          <t>TONNINO</t>
        </is>
      </c>
      <c r="B464" t="n">
        <v>11717394.21128472</v>
      </c>
      <c r="C464" t="n">
        <v>229285.638166287</v>
      </c>
      <c r="D464" t="n">
        <v>3079605</v>
      </c>
      <c r="E464" t="n">
        <v>0</v>
      </c>
      <c r="F464" t="n">
        <v>0</v>
      </c>
      <c r="G464" t="n">
        <v>0.2</v>
      </c>
      <c r="H464" t="n">
        <v>0.1</v>
      </c>
      <c r="I464" t="n">
        <v>1.2</v>
      </c>
      <c r="M464" t="n">
        <v>0</v>
      </c>
    </row>
    <row r="465">
      <c r="A465" t="inlineStr">
        <is>
          <t>TONY CHACHERE'S</t>
        </is>
      </c>
      <c r="B465" t="n">
        <v>4626.69</v>
      </c>
      <c r="C465" t="n">
        <v>0</v>
      </c>
      <c r="D465" t="n">
        <v>141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M465" t="n">
        <v>1</v>
      </c>
    </row>
    <row r="466">
      <c r="A466" t="inlineStr">
        <is>
          <t>TONY PACKO'S</t>
        </is>
      </c>
      <c r="B466" t="n">
        <v>254389.55</v>
      </c>
      <c r="C466" t="n">
        <v>0</v>
      </c>
      <c r="D466" t="n">
        <v>96899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M466" t="n">
        <v>1</v>
      </c>
    </row>
    <row r="467">
      <c r="A467" t="inlineStr">
        <is>
          <t>TONY'S TAMALES</t>
        </is>
      </c>
      <c r="B467" t="n">
        <v>2328.8</v>
      </c>
      <c r="C467" t="n">
        <v>0</v>
      </c>
      <c r="D467" t="n">
        <v>355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M467" t="n">
        <v>1</v>
      </c>
    </row>
    <row r="468">
      <c r="A468" t="inlineStr">
        <is>
          <t>TONYS TAMALES</t>
        </is>
      </c>
      <c r="B468" t="n">
        <v>18483.78</v>
      </c>
      <c r="C468" t="n">
        <v>0</v>
      </c>
      <c r="D468" t="n">
        <v>2818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M468" t="n">
        <v>1</v>
      </c>
    </row>
    <row r="469">
      <c r="A469" t="inlineStr">
        <is>
          <t>TRIDENT SEAFOOD</t>
        </is>
      </c>
      <c r="B469" t="n">
        <v>326589.51</v>
      </c>
      <c r="C469" t="n">
        <v>0</v>
      </c>
      <c r="D469" t="n">
        <v>68030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M469" t="n">
        <v>1</v>
      </c>
    </row>
    <row r="470">
      <c r="A470" t="inlineStr">
        <is>
          <t>TRIDENT SEAFOODS</t>
        </is>
      </c>
      <c r="B470" t="n">
        <v>10284446</v>
      </c>
      <c r="C470" t="n">
        <v>23818.364669861</v>
      </c>
      <c r="D470" t="n">
        <v>2369317</v>
      </c>
      <c r="E470" t="n">
        <v>0</v>
      </c>
      <c r="F470" t="n">
        <v>0</v>
      </c>
      <c r="G470" t="n">
        <v>0.2</v>
      </c>
      <c r="H470" t="n">
        <v>0.1</v>
      </c>
      <c r="I470" t="n">
        <v>0.1</v>
      </c>
      <c r="M470" t="n">
        <v>0</v>
      </c>
    </row>
    <row r="471">
      <c r="A471" t="inlineStr">
        <is>
          <t>TROPICS</t>
        </is>
      </c>
      <c r="B471" t="n">
        <v>4051.08</v>
      </c>
      <c r="C471" t="n">
        <v>0</v>
      </c>
      <c r="D471" t="n">
        <v>2046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M471" t="n">
        <v>1</v>
      </c>
    </row>
    <row r="472">
      <c r="A472" t="inlineStr">
        <is>
          <t>TRUROOTS</t>
        </is>
      </c>
      <c r="B472" t="n">
        <v>-2.99</v>
      </c>
      <c r="C472" t="n">
        <v>0</v>
      </c>
      <c r="D472" t="n">
        <v>-1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M472" t="n">
        <v>1</v>
      </c>
    </row>
    <row r="473">
      <c r="A473" t="inlineStr">
        <is>
          <t>TULIP</t>
        </is>
      </c>
      <c r="B473" t="n">
        <v>8906895.15</v>
      </c>
      <c r="C473" t="n">
        <v>0</v>
      </c>
      <c r="D473" t="n">
        <v>3348522</v>
      </c>
      <c r="E473" t="n">
        <v>1</v>
      </c>
      <c r="F473" t="n">
        <v>0</v>
      </c>
      <c r="G473" t="n">
        <v>0.2</v>
      </c>
      <c r="H473" t="n">
        <v>0.1</v>
      </c>
      <c r="I473" t="n">
        <v>0</v>
      </c>
      <c r="M473" t="n">
        <v>1</v>
      </c>
    </row>
    <row r="474">
      <c r="A474" t="inlineStr">
        <is>
          <t>TUNA HELPER</t>
        </is>
      </c>
      <c r="B474" t="n">
        <v>2.94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M474" t="n">
        <v>1</v>
      </c>
    </row>
    <row r="475">
      <c r="A475" t="inlineStr">
        <is>
          <t>TWISTD</t>
        </is>
      </c>
      <c r="B475" t="n">
        <v>298.29</v>
      </c>
      <c r="C475" t="n">
        <v>0</v>
      </c>
      <c r="D475" t="n">
        <v>311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M475" t="n">
        <v>1</v>
      </c>
    </row>
    <row r="476">
      <c r="A476" t="inlineStr">
        <is>
          <t>TYSON</t>
        </is>
      </c>
      <c r="B476" t="n">
        <v>16207539.93083333</v>
      </c>
      <c r="C476" t="n">
        <v>4941.651561575</v>
      </c>
      <c r="D476" t="n">
        <v>4700090</v>
      </c>
      <c r="E476" t="n">
        <v>0</v>
      </c>
      <c r="F476" t="n">
        <v>0</v>
      </c>
      <c r="G476" t="n">
        <v>0.3</v>
      </c>
      <c r="H476" t="n">
        <v>0.2</v>
      </c>
      <c r="I476" t="n">
        <v>0</v>
      </c>
      <c r="L476" t="n">
        <v>5</v>
      </c>
      <c r="M476" t="n">
        <v>0</v>
      </c>
    </row>
    <row r="477">
      <c r="A477" t="inlineStr">
        <is>
          <t>TYSON FOODS</t>
        </is>
      </c>
      <c r="B477" t="n">
        <v>1133967.445000001</v>
      </c>
      <c r="C477" t="n">
        <v>240.543309584</v>
      </c>
      <c r="D477" t="n">
        <v>368957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L477" t="n">
        <v>5</v>
      </c>
      <c r="M477" t="n">
        <v>0</v>
      </c>
    </row>
    <row r="478">
      <c r="A478" t="inlineStr">
        <is>
          <t>UNBRANDED</t>
        </is>
      </c>
      <c r="B478" t="n">
        <v>1292.39</v>
      </c>
      <c r="C478" t="n">
        <v>0</v>
      </c>
      <c r="D478" t="n">
        <v>497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K478" t="n">
        <v>1</v>
      </c>
      <c r="M478" t="n">
        <v>1</v>
      </c>
    </row>
    <row r="479">
      <c r="A479" t="inlineStr">
        <is>
          <t>UNCLE BEN'S</t>
        </is>
      </c>
      <c r="B479" t="n">
        <v>-3.96</v>
      </c>
      <c r="C479" t="n">
        <v>0</v>
      </c>
      <c r="D479" t="n">
        <v>-1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L479" t="n">
        <v>3</v>
      </c>
      <c r="M479" t="n">
        <v>0</v>
      </c>
    </row>
    <row r="480">
      <c r="A480" t="inlineStr">
        <is>
          <t>UNDERWOOD</t>
        </is>
      </c>
      <c r="B480" t="n">
        <v>35279322.76499999</v>
      </c>
      <c r="C480" t="n">
        <v>0</v>
      </c>
      <c r="D480" t="n">
        <v>13599464</v>
      </c>
      <c r="E480" t="n">
        <v>1</v>
      </c>
      <c r="F480" t="n">
        <v>0</v>
      </c>
      <c r="G480" t="n">
        <v>0.7</v>
      </c>
      <c r="H480" t="n">
        <v>0.6</v>
      </c>
      <c r="I480" t="n">
        <v>0</v>
      </c>
      <c r="M480" t="n">
        <v>1</v>
      </c>
    </row>
    <row r="481">
      <c r="A481" t="inlineStr">
        <is>
          <t>UNILEVER</t>
        </is>
      </c>
      <c r="B481" t="n">
        <v>0</v>
      </c>
      <c r="C481" t="n">
        <v>70.44000187900001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M481" t="n">
        <v>1</v>
      </c>
    </row>
    <row r="482">
      <c r="A482" t="inlineStr">
        <is>
          <t>UPTON'S NATURALS</t>
        </is>
      </c>
      <c r="B482" t="n">
        <v>48832.12</v>
      </c>
      <c r="C482" t="n">
        <v>0</v>
      </c>
      <c r="D482" t="n">
        <v>11038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M482" t="n">
        <v>1</v>
      </c>
    </row>
    <row r="483">
      <c r="A483" t="inlineStr">
        <is>
          <t>VALLEY FRESH</t>
        </is>
      </c>
      <c r="B483" t="n">
        <v>12851909.295</v>
      </c>
      <c r="C483" t="n">
        <v>14778.419882957</v>
      </c>
      <c r="D483" t="n">
        <v>4864778</v>
      </c>
      <c r="E483" t="n">
        <v>0</v>
      </c>
      <c r="F483" t="n">
        <v>0</v>
      </c>
      <c r="G483" t="n">
        <v>0.2</v>
      </c>
      <c r="H483" t="n">
        <v>0.2</v>
      </c>
      <c r="I483" t="n">
        <v>0.1</v>
      </c>
      <c r="M483" t="n">
        <v>0</v>
      </c>
    </row>
    <row r="484">
      <c r="A484" t="inlineStr">
        <is>
          <t>VAN CAMP'S</t>
        </is>
      </c>
      <c r="B484" t="n">
        <v>6236493.260000001</v>
      </c>
      <c r="C484" t="n">
        <v>903.2500056410003</v>
      </c>
      <c r="D484" t="n">
        <v>3388265</v>
      </c>
      <c r="E484" t="n">
        <v>0</v>
      </c>
      <c r="F484" t="n">
        <v>0</v>
      </c>
      <c r="G484" t="n">
        <v>0.1</v>
      </c>
      <c r="H484" t="n">
        <v>0.1</v>
      </c>
      <c r="I484" t="n">
        <v>0</v>
      </c>
      <c r="M484" t="n">
        <v>0</v>
      </c>
    </row>
    <row r="485">
      <c r="A485" t="inlineStr">
        <is>
          <t>VAN ECUADOR</t>
        </is>
      </c>
      <c r="B485" t="n">
        <v>313782.81</v>
      </c>
      <c r="C485" t="n">
        <v>0</v>
      </c>
      <c r="D485" t="n">
        <v>133004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M485" t="n">
        <v>1</v>
      </c>
    </row>
    <row r="486">
      <c r="A486" t="inlineStr">
        <is>
          <t>VAN ECUADOR TUNA IN OIL 4PK 3 OZ</t>
        </is>
      </c>
      <c r="B486" t="n">
        <v>7014.04</v>
      </c>
      <c r="C486" t="n">
        <v>0</v>
      </c>
      <c r="D486" t="n">
        <v>1214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M486" t="n">
        <v>1</v>
      </c>
    </row>
    <row r="487">
      <c r="A487" t="inlineStr">
        <is>
          <t>VAN O TONNO</t>
        </is>
      </c>
      <c r="B487" t="n">
        <v>43554.25</v>
      </c>
      <c r="C487" t="n">
        <v>0</v>
      </c>
      <c r="D487" t="n">
        <v>22159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M487" t="n">
        <v>1</v>
      </c>
    </row>
    <row r="488">
      <c r="A488" t="inlineStr">
        <is>
          <t>VEGGIECRAFT FARMS</t>
        </is>
      </c>
      <c r="B488" t="n">
        <v>98.18000000000001</v>
      </c>
      <c r="C488" t="n">
        <v>0</v>
      </c>
      <c r="D488" t="n">
        <v>59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M488" t="n">
        <v>1</v>
      </c>
    </row>
    <row r="489">
      <c r="A489" t="inlineStr">
        <is>
          <t>VERY VEGGIE</t>
        </is>
      </c>
      <c r="B489" t="n">
        <v>0.5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M489" t="n">
        <v>1</v>
      </c>
    </row>
    <row r="490">
      <c r="A490" t="inlineStr">
        <is>
          <t>VIETTI</t>
        </is>
      </c>
      <c r="B490" t="n">
        <v>2567089.62</v>
      </c>
      <c r="C490" t="n">
        <v>9843.040121381997</v>
      </c>
      <c r="D490" t="n">
        <v>1411739</v>
      </c>
      <c r="E490" t="n">
        <v>0</v>
      </c>
      <c r="F490" t="n">
        <v>0</v>
      </c>
      <c r="G490" t="n">
        <v>0</v>
      </c>
      <c r="H490" t="n">
        <v>0.1</v>
      </c>
      <c r="I490" t="n">
        <v>0.1</v>
      </c>
      <c r="M490" t="n">
        <v>0</v>
      </c>
    </row>
    <row r="491">
      <c r="A491" t="inlineStr">
        <is>
          <t>VIFON</t>
        </is>
      </c>
      <c r="B491" t="n">
        <v>2.3</v>
      </c>
      <c r="C491" t="n">
        <v>0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M491" t="n">
        <v>1</v>
      </c>
    </row>
    <row r="492">
      <c r="A492" t="inlineStr">
        <is>
          <t>VIGO</t>
        </is>
      </c>
      <c r="B492" t="n">
        <v>50070.02</v>
      </c>
      <c r="C492" t="n">
        <v>0</v>
      </c>
      <c r="D492" t="n">
        <v>19385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L492" t="n">
        <v>3</v>
      </c>
      <c r="M492" t="n">
        <v>0</v>
      </c>
    </row>
    <row r="493">
      <c r="A493" t="inlineStr">
        <is>
          <t>VIGO FOODS</t>
        </is>
      </c>
      <c r="B493" t="n">
        <v>4472758.52</v>
      </c>
      <c r="C493" t="n">
        <v>426.2400027020003</v>
      </c>
      <c r="D493" t="n">
        <v>1839483</v>
      </c>
      <c r="E493" t="n">
        <v>0</v>
      </c>
      <c r="F493" t="n">
        <v>0</v>
      </c>
      <c r="G493" t="n">
        <v>0.1</v>
      </c>
      <c r="H493" t="n">
        <v>0.1</v>
      </c>
      <c r="I493" t="n">
        <v>0</v>
      </c>
      <c r="M493" t="n">
        <v>0</v>
      </c>
    </row>
    <row r="494">
      <c r="A494" t="inlineStr">
        <is>
          <t>VIGO INDUSTRIES</t>
        </is>
      </c>
      <c r="B494" t="n">
        <v>288.31</v>
      </c>
      <c r="C494" t="n">
        <v>0</v>
      </c>
      <c r="D494" t="n">
        <v>13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M494" t="n">
        <v>1</v>
      </c>
    </row>
    <row r="495">
      <c r="A495" t="inlineStr">
        <is>
          <t>VITA</t>
        </is>
      </c>
      <c r="B495" t="n">
        <v>-7.98</v>
      </c>
      <c r="C495" t="n">
        <v>0</v>
      </c>
      <c r="D495" t="n">
        <v>-1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M495" t="n">
        <v>1</v>
      </c>
    </row>
    <row r="496">
      <c r="A496" t="inlineStr">
        <is>
          <t>VITAL FARMS</t>
        </is>
      </c>
      <c r="B496" t="n">
        <v>-4.98</v>
      </c>
      <c r="C496" t="n">
        <v>0</v>
      </c>
      <c r="D496" t="n">
        <v>-1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M496" t="n">
        <v>1</v>
      </c>
    </row>
    <row r="497">
      <c r="A497" t="inlineStr">
        <is>
          <t>VITARROZ</t>
        </is>
      </c>
      <c r="B497" t="n">
        <v>56.25</v>
      </c>
      <c r="C497" t="n">
        <v>0</v>
      </c>
      <c r="D497" t="n">
        <v>45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M497" t="n">
        <v>1</v>
      </c>
    </row>
    <row r="498">
      <c r="A498" t="inlineStr">
        <is>
          <t>VOYAGE FOODS</t>
        </is>
      </c>
      <c r="B498" t="n">
        <v>0</v>
      </c>
      <c r="C498" t="n">
        <v>153.899999579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M498" t="n">
        <v>1</v>
      </c>
    </row>
    <row r="499">
      <c r="A499" t="inlineStr">
        <is>
          <t>WAL-MART BAKERY</t>
        </is>
      </c>
      <c r="B499" t="n">
        <v>5.08</v>
      </c>
      <c r="C499" t="n">
        <v>0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M499" t="n">
        <v>1</v>
      </c>
    </row>
    <row r="500">
      <c r="A500" t="inlineStr">
        <is>
          <t>WELCH'S</t>
        </is>
      </c>
      <c r="B500" t="n">
        <v>42.41</v>
      </c>
      <c r="C500" t="n">
        <v>2995.554779256001</v>
      </c>
      <c r="D500" t="n">
        <v>12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M500" t="n">
        <v>0</v>
      </c>
    </row>
    <row r="501">
      <c r="A501" t="inlineStr">
        <is>
          <t>WENDY'S</t>
        </is>
      </c>
      <c r="B501" t="n">
        <v>27904228.31000002</v>
      </c>
      <c r="C501" t="n">
        <v>549937.354400453</v>
      </c>
      <c r="D501" t="n">
        <v>6234169.7</v>
      </c>
      <c r="E501" t="n">
        <v>0</v>
      </c>
      <c r="F501" t="n">
        <v>0</v>
      </c>
      <c r="G501" t="n">
        <v>0.5</v>
      </c>
      <c r="H501" t="n">
        <v>0.3</v>
      </c>
      <c r="I501" t="n">
        <v>3</v>
      </c>
      <c r="M501" t="n">
        <v>0</v>
      </c>
    </row>
    <row r="502">
      <c r="A502" t="inlineStr">
        <is>
          <t>WICKED KITCHEN</t>
        </is>
      </c>
      <c r="B502" t="n">
        <v>136317.53</v>
      </c>
      <c r="C502" t="n">
        <v>0</v>
      </c>
      <c r="D502" t="n">
        <v>45926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M502" t="n">
        <v>1</v>
      </c>
    </row>
    <row r="503">
      <c r="A503" t="inlineStr">
        <is>
          <t>WILD PLANET</t>
        </is>
      </c>
      <c r="B503" t="n">
        <v>27902014.31000001</v>
      </c>
      <c r="C503" t="n">
        <v>735727.261289676</v>
      </c>
      <c r="D503" t="n">
        <v>7241328</v>
      </c>
      <c r="E503" t="n">
        <v>0</v>
      </c>
      <c r="F503" t="n">
        <v>0</v>
      </c>
      <c r="G503" t="n">
        <v>0.5</v>
      </c>
      <c r="H503" t="n">
        <v>0.3</v>
      </c>
      <c r="I503" t="n">
        <v>4</v>
      </c>
      <c r="M503" t="n">
        <v>0</v>
      </c>
    </row>
    <row r="504">
      <c r="A504" t="inlineStr">
        <is>
          <t>WILD SELECTIONS</t>
        </is>
      </c>
      <c r="B504" t="n">
        <v>45.36</v>
      </c>
      <c r="C504" t="n">
        <v>0</v>
      </c>
      <c r="D504" t="n">
        <v>19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M504" t="n">
        <v>1</v>
      </c>
    </row>
    <row r="505">
      <c r="A505" t="inlineStr">
        <is>
          <t>WOLF</t>
        </is>
      </c>
      <c r="B505" t="n">
        <v>1329658.66</v>
      </c>
      <c r="C505" t="n">
        <v>0</v>
      </c>
      <c r="D505" t="n">
        <v>510645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M505" t="n">
        <v>1</v>
      </c>
    </row>
    <row r="506">
      <c r="A506" t="inlineStr">
        <is>
          <t>WOLFF'S</t>
        </is>
      </c>
      <c r="B506" t="n">
        <v>341.12</v>
      </c>
      <c r="C506" t="n">
        <v>0</v>
      </c>
      <c r="D506" t="n">
        <v>82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M506" t="n">
        <v>1</v>
      </c>
    </row>
    <row r="507">
      <c r="A507" t="inlineStr">
        <is>
          <t>WOODWARD AVE</t>
        </is>
      </c>
      <c r="B507" t="n">
        <v>370544.399999996</v>
      </c>
      <c r="C507" t="n">
        <v>0</v>
      </c>
      <c r="D507" t="n">
        <v>147683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M507" t="n">
        <v>1</v>
      </c>
    </row>
    <row r="508">
      <c r="A508" t="inlineStr">
        <is>
          <t>WORTHMORE</t>
        </is>
      </c>
      <c r="B508" t="n">
        <v>3091.92</v>
      </c>
      <c r="C508" t="n">
        <v>0</v>
      </c>
      <c r="D508" t="n">
        <v>991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M508" t="n">
        <v>1</v>
      </c>
    </row>
    <row r="509">
      <c r="A509" t="inlineStr">
        <is>
          <t>YEHUDA</t>
        </is>
      </c>
      <c r="B509" t="n">
        <v>5578.92</v>
      </c>
      <c r="C509" t="n">
        <v>0</v>
      </c>
      <c r="D509" t="n">
        <v>582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M509" t="n">
        <v>1</v>
      </c>
    </row>
    <row r="510">
      <c r="A510" t="inlineStr">
        <is>
          <t>YELLOWSTONE</t>
        </is>
      </c>
      <c r="B510" t="n">
        <v>9001621.470000001</v>
      </c>
      <c r="C510" t="n">
        <v>45373.78122579299</v>
      </c>
      <c r="D510" t="n">
        <v>2845864</v>
      </c>
      <c r="E510" t="n">
        <v>0</v>
      </c>
      <c r="F510" t="n">
        <v>0</v>
      </c>
      <c r="G510" t="n">
        <v>0.2</v>
      </c>
      <c r="H510" t="n">
        <v>0.1</v>
      </c>
      <c r="I510" t="n">
        <v>0.2</v>
      </c>
      <c r="M510" t="n">
        <v>0</v>
      </c>
    </row>
    <row r="511">
      <c r="A511" t="inlineStr">
        <is>
          <t>YODER'S</t>
        </is>
      </c>
      <c r="B511" t="n">
        <v>53555.96</v>
      </c>
      <c r="C511" t="n">
        <v>161.859320491</v>
      </c>
      <c r="D511" t="n">
        <v>31988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M511" t="n">
        <v>0</v>
      </c>
    </row>
    <row r="512">
      <c r="A512" t="inlineStr">
        <is>
          <t>YUMMY</t>
        </is>
      </c>
      <c r="B512" t="n">
        <v>131.49</v>
      </c>
      <c r="C512" t="n">
        <v>0</v>
      </c>
      <c r="D512" t="n">
        <v>27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M512" t="n">
        <v>1</v>
      </c>
    </row>
    <row r="513">
      <c r="A513" t="inlineStr">
        <is>
          <t>ZATARAIN'S</t>
        </is>
      </c>
      <c r="B513" t="n">
        <v>1636280.74</v>
      </c>
      <c r="C513" t="n">
        <v>113.799999677</v>
      </c>
      <c r="D513" t="n">
        <v>478683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M51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F659E87B70A419CAE1A5092230E6B" ma:contentTypeVersion="14" ma:contentTypeDescription="Create a new document." ma:contentTypeScope="" ma:versionID="a90fdc9501e2bcf89c4e3bdaab5c9df9">
  <xsd:schema xmlns:xsd="http://www.w3.org/2001/XMLSchema" xmlns:xs="http://www.w3.org/2001/XMLSchema" xmlns:p="http://schemas.microsoft.com/office/2006/metadata/properties" xmlns:ns2="5dbc6360-c13d-4683-9985-ea1540c9bf75" xmlns:ns3="bdf9c1d3-2a4c-4fde-897a-e4491510ebd4" targetNamespace="http://schemas.microsoft.com/office/2006/metadata/properties" ma:root="true" ma:fieldsID="ec74955754b2cf06a191b26113324177" ns2:_="" ns3:_="">
    <xsd:import namespace="5dbc6360-c13d-4683-9985-ea1540c9bf75"/>
    <xsd:import namespace="bdf9c1d3-2a4c-4fde-897a-e4491510e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6360-c13d-4683-9985-ea1540c9b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e3ebe9-c3e3-4a74-80ff-46a85bd5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9c1d3-2a4c-4fde-897a-e4491510e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f6230e0-50ab-4973-b6eb-f0eaeead11cc}" ma:internalName="TaxCatchAll" ma:showField="CatchAllData" ma:web="bdf9c1d3-2a4c-4fde-897a-e4491510e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bc6360-c13d-4683-9985-ea1540c9bf75">
      <Terms xmlns="http://schemas.microsoft.com/office/infopath/2007/PartnerControls"/>
    </lcf76f155ced4ddcb4097134ff3c332f>
    <TaxCatchAll xmlns="bdf9c1d3-2a4c-4fde-897a-e4491510ebd4" xsi:nil="true"/>
  </documentManagement>
</p:properties>
</file>

<file path=customXml/itemProps1.xml><?xml version="1.0" encoding="utf-8"?>
<ds:datastoreItem xmlns:ds="http://schemas.openxmlformats.org/officeDocument/2006/customXml" ds:itemID="{C0A740AB-445F-4EF4-A6BE-907D4B789B14}"/>
</file>

<file path=customXml/itemProps2.xml><?xml version="1.0" encoding="utf-8"?>
<ds:datastoreItem xmlns:ds="http://schemas.openxmlformats.org/officeDocument/2006/customXml" ds:itemID="{76536F1F-F97C-4451-97F8-45135D2B5117}"/>
</file>

<file path=customXml/itemProps3.xml><?xml version="1.0" encoding="utf-8"?>
<ds:datastoreItem xmlns:ds="http://schemas.openxmlformats.org/officeDocument/2006/customXml" ds:itemID="{D9809D23-C451-4545-B94B-4BF54070E3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</dc:creator>
  <cp:lastModifiedBy>Mahima Singh</cp:lastModifiedBy>
  <dcterms:created xsi:type="dcterms:W3CDTF">2015-06-05T18:17:20Z</dcterms:created>
  <dcterms:modified xsi:type="dcterms:W3CDTF">2026-02-03T12:39:26Z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0x010100D94F659E87B70A419CAE1A5092230E6B</vt:lpwstr>
  </property>
</Properties>
</file>